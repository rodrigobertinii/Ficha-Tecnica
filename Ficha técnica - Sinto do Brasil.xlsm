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ENOVO\Documents\Projetos GitHub\VBA\"/>
    </mc:Choice>
  </mc:AlternateContent>
  <xr:revisionPtr revIDLastSave="0" documentId="13_ncr:1_{9A3355B4-F2EB-4697-BBDA-CD776AE51D6B}" xr6:coauthVersionLast="47" xr6:coauthVersionMax="47" xr10:uidLastSave="{00000000-0000-0000-0000-000000000000}"/>
  <workbookProtection workbookAlgorithmName="SHA-512" workbookHashValue="qwcmP0x+ygh89LfK5lYSOJB46ajsBIddcmkoAd4sTZQzL7YxflXe0F83smT/+6ErYQiRPXwX0PH8rfoOLElvLA==" workbookSaltValue="ytPdBIDeED/fgmk13553tg==" workbookSpinCount="100000" lockStructure="1"/>
  <bookViews>
    <workbookView showSheetTabs="0" xWindow="-120" yWindow="-120" windowWidth="20730" windowHeight="11160" tabRatio="590" activeTab="2" xr2:uid="{00000000-000D-0000-FFFF-FFFF00000000}"/>
  </bookViews>
  <sheets>
    <sheet name="MODELO" sheetId="19" r:id="rId1"/>
    <sheet name="BANCO DE DADOS" sheetId="2" r:id="rId2"/>
    <sheet name="FICHA TÉCNICA" sheetId="20" r:id="rId3"/>
  </sheets>
  <definedNames>
    <definedName name="_xlnm.Print_Area" localSheetId="2">'FICHA TÉCNICA'!$C$2:$S$34</definedName>
    <definedName name="_xlnm.Print_Area" localSheetId="0">MODELO!$B$1:$BS$55</definedName>
    <definedName name="IDIOMA">'BANCO DE DADOS'!$BF$2:$BF$5</definedName>
    <definedName name="MATERIAL">'BANCO DE DADOS'!$BJ$2:$BJ$161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8" i="2" l="1"/>
  <c r="BJ9" i="2"/>
  <c r="BJ10" i="2"/>
  <c r="BJ11" i="2"/>
  <c r="BJ12" i="2"/>
  <c r="BJ13" i="2"/>
  <c r="BJ14" i="2"/>
  <c r="BJ15" i="2"/>
  <c r="BJ16" i="2"/>
  <c r="BJ17" i="2"/>
  <c r="BJ18" i="2"/>
  <c r="BJ19" i="2"/>
  <c r="BJ20" i="2"/>
  <c r="BJ21" i="2"/>
  <c r="BJ22" i="2"/>
  <c r="BJ23" i="2"/>
  <c r="BJ24" i="2"/>
  <c r="BJ25" i="2"/>
  <c r="BJ26" i="2"/>
  <c r="BJ27" i="2"/>
  <c r="BJ28" i="2"/>
  <c r="BJ29" i="2"/>
  <c r="BJ30" i="2"/>
  <c r="BJ31" i="2"/>
  <c r="BJ32" i="2"/>
  <c r="BJ33" i="2"/>
  <c r="BJ34" i="2"/>
  <c r="BJ35" i="2"/>
  <c r="BJ36" i="2"/>
  <c r="BJ37" i="2"/>
  <c r="BJ38" i="2"/>
  <c r="BJ39" i="2"/>
  <c r="BJ40" i="2"/>
  <c r="BJ41" i="2"/>
  <c r="BJ42" i="2"/>
  <c r="BJ43" i="2"/>
  <c r="BJ44" i="2"/>
  <c r="BJ45" i="2"/>
  <c r="BJ4" i="2"/>
  <c r="BJ5" i="2"/>
  <c r="BJ6" i="2"/>
  <c r="BJ7" i="2"/>
  <c r="L52" i="2" l="1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A240" i="2" l="1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BJ145" i="2" l="1"/>
  <c r="BJ146" i="2"/>
  <c r="BJ147" i="2"/>
  <c r="BJ148" i="2"/>
  <c r="BJ149" i="2"/>
  <c r="BJ150" i="2"/>
  <c r="BJ151" i="2"/>
  <c r="BJ152" i="2"/>
  <c r="BJ153" i="2"/>
  <c r="BJ154" i="2"/>
  <c r="BJ155" i="2"/>
  <c r="BJ156" i="2"/>
  <c r="BJ157" i="2"/>
  <c r="BJ158" i="2"/>
  <c r="BJ159" i="2"/>
  <c r="BJ160" i="2"/>
  <c r="BJ161" i="2"/>
  <c r="AL240" i="2" l="1"/>
  <c r="AL241" i="2"/>
  <c r="AL242" i="2"/>
  <c r="AL243" i="2"/>
  <c r="AL244" i="2"/>
  <c r="AL245" i="2"/>
  <c r="AL246" i="2"/>
  <c r="AL247" i="2"/>
  <c r="AL248" i="2"/>
  <c r="AL249" i="2"/>
  <c r="AL250" i="2"/>
  <c r="AL251" i="2"/>
  <c r="AL252" i="2"/>
  <c r="AL253" i="2"/>
  <c r="AL254" i="2"/>
  <c r="AL255" i="2"/>
  <c r="AL256" i="2"/>
  <c r="AL257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146" i="2"/>
  <c r="AL147" i="2"/>
  <c r="AL148" i="2"/>
  <c r="AL149" i="2"/>
  <c r="AL150" i="2"/>
  <c r="AL151" i="2"/>
  <c r="AL152" i="2"/>
  <c r="AL153" i="2"/>
  <c r="AL154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69" i="2"/>
  <c r="AL170" i="2"/>
  <c r="AL171" i="2"/>
  <c r="AL172" i="2"/>
  <c r="AL173" i="2"/>
  <c r="AL174" i="2"/>
  <c r="AL175" i="2"/>
  <c r="AL176" i="2"/>
  <c r="AL177" i="2"/>
  <c r="AL178" i="2"/>
  <c r="AL179" i="2"/>
  <c r="AL180" i="2"/>
  <c r="AL181" i="2"/>
  <c r="AL182" i="2"/>
  <c r="AL183" i="2"/>
  <c r="AL184" i="2"/>
  <c r="AL185" i="2"/>
  <c r="AL186" i="2"/>
  <c r="AL187" i="2"/>
  <c r="AL188" i="2"/>
  <c r="AL189" i="2"/>
  <c r="AI168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AH261" i="2"/>
  <c r="AH262" i="2"/>
  <c r="AH263" i="2"/>
  <c r="AH264" i="2"/>
  <c r="AH265" i="2"/>
  <c r="AH266" i="2"/>
  <c r="AH267" i="2"/>
  <c r="AH268" i="2"/>
  <c r="AH269" i="2"/>
  <c r="AH270" i="2"/>
  <c r="AH271" i="2"/>
  <c r="AH272" i="2"/>
  <c r="AH273" i="2"/>
  <c r="AH274" i="2"/>
  <c r="AH275" i="2"/>
  <c r="AH276" i="2"/>
  <c r="AH277" i="2"/>
  <c r="AH278" i="2"/>
  <c r="AH279" i="2"/>
  <c r="AH280" i="2"/>
  <c r="AH281" i="2"/>
  <c r="AH282" i="2"/>
  <c r="AH283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G240" i="2"/>
  <c r="AG241" i="2"/>
  <c r="AG242" i="2"/>
  <c r="AG243" i="2"/>
  <c r="AG244" i="2"/>
  <c r="AG245" i="2"/>
  <c r="AG246" i="2"/>
  <c r="AG247" i="2"/>
  <c r="AG248" i="2"/>
  <c r="AG249" i="2"/>
  <c r="AG250" i="2"/>
  <c r="AG251" i="2"/>
  <c r="AG252" i="2"/>
  <c r="AG253" i="2"/>
  <c r="AG254" i="2"/>
  <c r="AG255" i="2"/>
  <c r="AG256" i="2"/>
  <c r="AG257" i="2"/>
  <c r="AG258" i="2"/>
  <c r="AG259" i="2"/>
  <c r="AG260" i="2"/>
  <c r="AG261" i="2"/>
  <c r="AG262" i="2"/>
  <c r="AG263" i="2"/>
  <c r="AG264" i="2"/>
  <c r="AG265" i="2"/>
  <c r="AG266" i="2"/>
  <c r="AG267" i="2"/>
  <c r="AG268" i="2"/>
  <c r="AG269" i="2"/>
  <c r="AG270" i="2"/>
  <c r="AG271" i="2"/>
  <c r="AG272" i="2"/>
  <c r="AG273" i="2"/>
  <c r="AG274" i="2"/>
  <c r="AG275" i="2"/>
  <c r="AG276" i="2"/>
  <c r="AG277" i="2"/>
  <c r="AG278" i="2"/>
  <c r="AG279" i="2"/>
  <c r="AG280" i="2"/>
  <c r="AG281" i="2"/>
  <c r="AG282" i="2"/>
  <c r="AG283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AG146" i="2"/>
  <c r="AG147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A95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AF283" i="2" l="1"/>
  <c r="AF282" i="2"/>
  <c r="AF281" i="2"/>
  <c r="AF280" i="2"/>
  <c r="AF279" i="2"/>
  <c r="AF278" i="2"/>
  <c r="AF277" i="2"/>
  <c r="AF276" i="2"/>
  <c r="AF275" i="2"/>
  <c r="AF274" i="2"/>
  <c r="AF273" i="2"/>
  <c r="AF272" i="2"/>
  <c r="AF271" i="2"/>
  <c r="AF270" i="2"/>
  <c r="AF269" i="2"/>
  <c r="AF268" i="2"/>
  <c r="AF267" i="2"/>
  <c r="AF266" i="2"/>
  <c r="AF265" i="2"/>
  <c r="AF264" i="2"/>
  <c r="AF263" i="2"/>
  <c r="AF262" i="2"/>
  <c r="AF261" i="2"/>
  <c r="AF260" i="2"/>
  <c r="AF259" i="2"/>
  <c r="AF258" i="2"/>
  <c r="AF257" i="2"/>
  <c r="AF256" i="2"/>
  <c r="AF255" i="2"/>
  <c r="AF254" i="2"/>
  <c r="AF253" i="2"/>
  <c r="AF252" i="2"/>
  <c r="AF251" i="2"/>
  <c r="AF250" i="2"/>
  <c r="AF249" i="2"/>
  <c r="AF248" i="2"/>
  <c r="AF247" i="2"/>
  <c r="AF246" i="2"/>
  <c r="AF245" i="2"/>
  <c r="AF244" i="2"/>
  <c r="AF243" i="2"/>
  <c r="AF242" i="2"/>
  <c r="AF241" i="2"/>
  <c r="AF240" i="2"/>
  <c r="AC283" i="2"/>
  <c r="AC282" i="2"/>
  <c r="AC281" i="2"/>
  <c r="AC280" i="2"/>
  <c r="AC279" i="2"/>
  <c r="AC278" i="2"/>
  <c r="AC277" i="2"/>
  <c r="AC276" i="2"/>
  <c r="AC275" i="2"/>
  <c r="AC274" i="2"/>
  <c r="AC273" i="2"/>
  <c r="AC272" i="2"/>
  <c r="AC271" i="2"/>
  <c r="AC270" i="2"/>
  <c r="AC269" i="2"/>
  <c r="AC268" i="2"/>
  <c r="AC267" i="2"/>
  <c r="AC266" i="2"/>
  <c r="AC265" i="2"/>
  <c r="AC264" i="2"/>
  <c r="AC263" i="2"/>
  <c r="AC262" i="2"/>
  <c r="AC261" i="2"/>
  <c r="AC260" i="2"/>
  <c r="AC259" i="2"/>
  <c r="AC258" i="2"/>
  <c r="AC257" i="2"/>
  <c r="AC256" i="2"/>
  <c r="AC255" i="2"/>
  <c r="AC254" i="2"/>
  <c r="AC253" i="2"/>
  <c r="AC252" i="2"/>
  <c r="AC251" i="2"/>
  <c r="AC250" i="2"/>
  <c r="AC249" i="2"/>
  <c r="AC248" i="2"/>
  <c r="AC247" i="2"/>
  <c r="AC246" i="2"/>
  <c r="AC245" i="2"/>
  <c r="AC244" i="2"/>
  <c r="AC243" i="2"/>
  <c r="AC242" i="2"/>
  <c r="AC241" i="2"/>
  <c r="AC240" i="2"/>
  <c r="Z283" i="2"/>
  <c r="Z282" i="2"/>
  <c r="Z281" i="2"/>
  <c r="Z280" i="2"/>
  <c r="Z279" i="2"/>
  <c r="Z278" i="2"/>
  <c r="Z277" i="2"/>
  <c r="Z276" i="2"/>
  <c r="Z275" i="2"/>
  <c r="Z274" i="2"/>
  <c r="Z273" i="2"/>
  <c r="Z272" i="2"/>
  <c r="Z271" i="2"/>
  <c r="Z270" i="2"/>
  <c r="Z269" i="2"/>
  <c r="Z268" i="2"/>
  <c r="Z267" i="2"/>
  <c r="Z266" i="2"/>
  <c r="Z265" i="2"/>
  <c r="Z264" i="2"/>
  <c r="Z263" i="2"/>
  <c r="Z262" i="2"/>
  <c r="Z261" i="2"/>
  <c r="Z260" i="2"/>
  <c r="Z259" i="2"/>
  <c r="Z258" i="2"/>
  <c r="Z257" i="2"/>
  <c r="Z256" i="2"/>
  <c r="Z255" i="2"/>
  <c r="Z254" i="2"/>
  <c r="Z253" i="2"/>
  <c r="Z252" i="2"/>
  <c r="Z251" i="2"/>
  <c r="Z250" i="2"/>
  <c r="Z249" i="2"/>
  <c r="Z248" i="2"/>
  <c r="Z247" i="2"/>
  <c r="Z246" i="2"/>
  <c r="Z245" i="2"/>
  <c r="Z244" i="2"/>
  <c r="Z243" i="2"/>
  <c r="Z242" i="2"/>
  <c r="Z241" i="2"/>
  <c r="Z240" i="2"/>
  <c r="W283" i="2"/>
  <c r="W282" i="2"/>
  <c r="W281" i="2"/>
  <c r="W280" i="2"/>
  <c r="W279" i="2"/>
  <c r="W278" i="2"/>
  <c r="W277" i="2"/>
  <c r="W276" i="2"/>
  <c r="W275" i="2"/>
  <c r="W274" i="2"/>
  <c r="W273" i="2"/>
  <c r="W272" i="2"/>
  <c r="W271" i="2"/>
  <c r="W270" i="2"/>
  <c r="W269" i="2"/>
  <c r="W268" i="2"/>
  <c r="W267" i="2"/>
  <c r="W266" i="2"/>
  <c r="W265" i="2"/>
  <c r="W264" i="2"/>
  <c r="W263" i="2"/>
  <c r="W262" i="2"/>
  <c r="W261" i="2"/>
  <c r="W260" i="2"/>
  <c r="W259" i="2"/>
  <c r="W258" i="2"/>
  <c r="W257" i="2"/>
  <c r="W256" i="2"/>
  <c r="W255" i="2"/>
  <c r="W254" i="2"/>
  <c r="W253" i="2"/>
  <c r="W252" i="2"/>
  <c r="W251" i="2"/>
  <c r="W250" i="2"/>
  <c r="W249" i="2"/>
  <c r="W248" i="2"/>
  <c r="W247" i="2"/>
  <c r="W246" i="2"/>
  <c r="W245" i="2"/>
  <c r="W244" i="2"/>
  <c r="W243" i="2"/>
  <c r="W242" i="2"/>
  <c r="W241" i="2"/>
  <c r="W240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AE283" i="2" l="1"/>
  <c r="AB283" i="2"/>
  <c r="Y283" i="2"/>
  <c r="V283" i="2"/>
  <c r="S283" i="2"/>
  <c r="P283" i="2"/>
  <c r="M283" i="2"/>
  <c r="AE282" i="2"/>
  <c r="AB282" i="2"/>
  <c r="Y282" i="2"/>
  <c r="V282" i="2"/>
  <c r="S282" i="2"/>
  <c r="P282" i="2"/>
  <c r="M282" i="2"/>
  <c r="AE281" i="2"/>
  <c r="AB281" i="2"/>
  <c r="Y281" i="2"/>
  <c r="V281" i="2"/>
  <c r="S281" i="2"/>
  <c r="P281" i="2"/>
  <c r="M281" i="2"/>
  <c r="AE280" i="2"/>
  <c r="AB280" i="2"/>
  <c r="Y280" i="2"/>
  <c r="V280" i="2"/>
  <c r="S280" i="2"/>
  <c r="P280" i="2"/>
  <c r="M280" i="2"/>
  <c r="AE279" i="2"/>
  <c r="AB279" i="2"/>
  <c r="Y279" i="2"/>
  <c r="V279" i="2"/>
  <c r="S279" i="2"/>
  <c r="P279" i="2"/>
  <c r="M279" i="2"/>
  <c r="AE278" i="2"/>
  <c r="AB278" i="2"/>
  <c r="Y278" i="2"/>
  <c r="V278" i="2"/>
  <c r="S278" i="2"/>
  <c r="P278" i="2"/>
  <c r="M278" i="2"/>
  <c r="AE277" i="2"/>
  <c r="AB277" i="2"/>
  <c r="Y277" i="2"/>
  <c r="V277" i="2"/>
  <c r="S277" i="2"/>
  <c r="P277" i="2"/>
  <c r="M277" i="2"/>
  <c r="AE276" i="2"/>
  <c r="AB276" i="2"/>
  <c r="Y276" i="2"/>
  <c r="V276" i="2"/>
  <c r="S276" i="2"/>
  <c r="P276" i="2"/>
  <c r="M276" i="2"/>
  <c r="AE275" i="2"/>
  <c r="AB275" i="2"/>
  <c r="Y275" i="2"/>
  <c r="V275" i="2"/>
  <c r="S275" i="2"/>
  <c r="P275" i="2"/>
  <c r="M275" i="2"/>
  <c r="AE274" i="2"/>
  <c r="AB274" i="2"/>
  <c r="Y274" i="2"/>
  <c r="V274" i="2"/>
  <c r="S274" i="2"/>
  <c r="P274" i="2"/>
  <c r="M274" i="2"/>
  <c r="AE273" i="2"/>
  <c r="AB273" i="2"/>
  <c r="Y273" i="2"/>
  <c r="V273" i="2"/>
  <c r="S273" i="2"/>
  <c r="P273" i="2"/>
  <c r="M273" i="2"/>
  <c r="AE272" i="2"/>
  <c r="AB272" i="2"/>
  <c r="Y272" i="2"/>
  <c r="V272" i="2"/>
  <c r="S272" i="2"/>
  <c r="P272" i="2"/>
  <c r="M272" i="2"/>
  <c r="AE271" i="2"/>
  <c r="AB271" i="2"/>
  <c r="Y271" i="2"/>
  <c r="V271" i="2"/>
  <c r="S271" i="2"/>
  <c r="P271" i="2"/>
  <c r="M271" i="2"/>
  <c r="AE270" i="2"/>
  <c r="AB270" i="2"/>
  <c r="Y270" i="2"/>
  <c r="V270" i="2"/>
  <c r="S270" i="2"/>
  <c r="P270" i="2"/>
  <c r="M270" i="2"/>
  <c r="AE269" i="2"/>
  <c r="AB269" i="2"/>
  <c r="Y269" i="2"/>
  <c r="V269" i="2"/>
  <c r="S269" i="2"/>
  <c r="P269" i="2"/>
  <c r="M269" i="2"/>
  <c r="AE268" i="2"/>
  <c r="AB268" i="2"/>
  <c r="Y268" i="2"/>
  <c r="V268" i="2"/>
  <c r="S268" i="2"/>
  <c r="P268" i="2"/>
  <c r="M268" i="2"/>
  <c r="AE267" i="2"/>
  <c r="AB267" i="2"/>
  <c r="Y267" i="2"/>
  <c r="V267" i="2"/>
  <c r="S267" i="2"/>
  <c r="P267" i="2"/>
  <c r="M267" i="2"/>
  <c r="AE266" i="2"/>
  <c r="AB266" i="2"/>
  <c r="Y266" i="2"/>
  <c r="V266" i="2"/>
  <c r="S266" i="2"/>
  <c r="P266" i="2"/>
  <c r="M266" i="2"/>
  <c r="AE265" i="2"/>
  <c r="AB265" i="2"/>
  <c r="Y265" i="2"/>
  <c r="V265" i="2"/>
  <c r="S265" i="2"/>
  <c r="P265" i="2"/>
  <c r="M265" i="2"/>
  <c r="AE264" i="2"/>
  <c r="AB264" i="2"/>
  <c r="Y264" i="2"/>
  <c r="V264" i="2"/>
  <c r="S264" i="2"/>
  <c r="P264" i="2"/>
  <c r="M264" i="2"/>
  <c r="AE263" i="2"/>
  <c r="AB263" i="2"/>
  <c r="Y263" i="2"/>
  <c r="V263" i="2"/>
  <c r="S263" i="2"/>
  <c r="P263" i="2"/>
  <c r="M263" i="2"/>
  <c r="AE262" i="2"/>
  <c r="AB262" i="2"/>
  <c r="Y262" i="2"/>
  <c r="V262" i="2"/>
  <c r="S262" i="2"/>
  <c r="P262" i="2"/>
  <c r="M262" i="2"/>
  <c r="AE261" i="2"/>
  <c r="AB261" i="2"/>
  <c r="Y261" i="2"/>
  <c r="V261" i="2"/>
  <c r="S261" i="2"/>
  <c r="P261" i="2"/>
  <c r="M261" i="2"/>
  <c r="AE260" i="2"/>
  <c r="AB260" i="2"/>
  <c r="Y260" i="2"/>
  <c r="V260" i="2"/>
  <c r="S260" i="2"/>
  <c r="P260" i="2"/>
  <c r="M260" i="2"/>
  <c r="AE259" i="2"/>
  <c r="AB259" i="2"/>
  <c r="Y259" i="2"/>
  <c r="V259" i="2"/>
  <c r="S259" i="2"/>
  <c r="P259" i="2"/>
  <c r="M259" i="2"/>
  <c r="AE258" i="2"/>
  <c r="AB258" i="2"/>
  <c r="Y258" i="2"/>
  <c r="V258" i="2"/>
  <c r="S258" i="2"/>
  <c r="P258" i="2"/>
  <c r="M258" i="2"/>
  <c r="AE257" i="2"/>
  <c r="AB257" i="2"/>
  <c r="Y257" i="2"/>
  <c r="V257" i="2"/>
  <c r="S257" i="2"/>
  <c r="P257" i="2"/>
  <c r="M257" i="2"/>
  <c r="AE256" i="2"/>
  <c r="AB256" i="2"/>
  <c r="Y256" i="2"/>
  <c r="V256" i="2"/>
  <c r="S256" i="2"/>
  <c r="P256" i="2"/>
  <c r="M256" i="2"/>
  <c r="AE255" i="2"/>
  <c r="AB255" i="2"/>
  <c r="Y255" i="2"/>
  <c r="V255" i="2"/>
  <c r="S255" i="2"/>
  <c r="P255" i="2"/>
  <c r="M255" i="2"/>
  <c r="AE254" i="2"/>
  <c r="AB254" i="2"/>
  <c r="Y254" i="2"/>
  <c r="V254" i="2"/>
  <c r="S254" i="2"/>
  <c r="P254" i="2"/>
  <c r="M254" i="2"/>
  <c r="AE253" i="2"/>
  <c r="AB253" i="2"/>
  <c r="Y253" i="2"/>
  <c r="V253" i="2"/>
  <c r="S253" i="2"/>
  <c r="P253" i="2"/>
  <c r="M253" i="2"/>
  <c r="AE252" i="2"/>
  <c r="AB252" i="2"/>
  <c r="Y252" i="2"/>
  <c r="V252" i="2"/>
  <c r="S252" i="2"/>
  <c r="P252" i="2"/>
  <c r="M252" i="2"/>
  <c r="AE251" i="2"/>
  <c r="AB251" i="2"/>
  <c r="Y251" i="2"/>
  <c r="V251" i="2"/>
  <c r="S251" i="2"/>
  <c r="P251" i="2"/>
  <c r="M251" i="2"/>
  <c r="AE250" i="2"/>
  <c r="AB250" i="2"/>
  <c r="Y250" i="2"/>
  <c r="V250" i="2"/>
  <c r="S250" i="2"/>
  <c r="P250" i="2"/>
  <c r="M250" i="2"/>
  <c r="AE249" i="2"/>
  <c r="AB249" i="2"/>
  <c r="Y249" i="2"/>
  <c r="V249" i="2"/>
  <c r="S249" i="2"/>
  <c r="P249" i="2"/>
  <c r="M249" i="2"/>
  <c r="AE248" i="2"/>
  <c r="AB248" i="2"/>
  <c r="Y248" i="2"/>
  <c r="V248" i="2"/>
  <c r="S248" i="2"/>
  <c r="P248" i="2"/>
  <c r="M248" i="2"/>
  <c r="AE247" i="2"/>
  <c r="AB247" i="2"/>
  <c r="Y247" i="2"/>
  <c r="V247" i="2"/>
  <c r="S247" i="2"/>
  <c r="P247" i="2"/>
  <c r="M247" i="2"/>
  <c r="AE246" i="2"/>
  <c r="AB246" i="2"/>
  <c r="Y246" i="2"/>
  <c r="V246" i="2"/>
  <c r="S246" i="2"/>
  <c r="P246" i="2"/>
  <c r="M246" i="2"/>
  <c r="AE245" i="2"/>
  <c r="AB245" i="2"/>
  <c r="Y245" i="2"/>
  <c r="V245" i="2"/>
  <c r="S245" i="2"/>
  <c r="P245" i="2"/>
  <c r="M245" i="2"/>
  <c r="AE244" i="2"/>
  <c r="AB244" i="2"/>
  <c r="Y244" i="2"/>
  <c r="V244" i="2"/>
  <c r="S244" i="2"/>
  <c r="P244" i="2"/>
  <c r="M244" i="2"/>
  <c r="AE243" i="2"/>
  <c r="AB243" i="2"/>
  <c r="Y243" i="2"/>
  <c r="V243" i="2"/>
  <c r="S243" i="2"/>
  <c r="P243" i="2"/>
  <c r="M243" i="2"/>
  <c r="AE242" i="2"/>
  <c r="AB242" i="2"/>
  <c r="Y242" i="2"/>
  <c r="V242" i="2"/>
  <c r="S242" i="2"/>
  <c r="P242" i="2"/>
  <c r="M242" i="2"/>
  <c r="AE241" i="2"/>
  <c r="AB241" i="2"/>
  <c r="Y241" i="2"/>
  <c r="V241" i="2"/>
  <c r="S241" i="2"/>
  <c r="P241" i="2"/>
  <c r="M241" i="2"/>
  <c r="AE240" i="2"/>
  <c r="AB240" i="2"/>
  <c r="Y240" i="2"/>
  <c r="V240" i="2"/>
  <c r="S240" i="2"/>
  <c r="P240" i="2"/>
  <c r="M240" i="2"/>
  <c r="AF189" i="2"/>
  <c r="AE189" i="2" s="1"/>
  <c r="AF188" i="2"/>
  <c r="AF187" i="2"/>
  <c r="AE187" i="2" s="1"/>
  <c r="AF186" i="2"/>
  <c r="AE186" i="2" s="1"/>
  <c r="AF185" i="2"/>
  <c r="AE185" i="2" s="1"/>
  <c r="AF184" i="2"/>
  <c r="AE184" i="2" s="1"/>
  <c r="AF183" i="2"/>
  <c r="AE183" i="2" s="1"/>
  <c r="AF182" i="2"/>
  <c r="AE182" i="2" s="1"/>
  <c r="AF181" i="2"/>
  <c r="AF180" i="2"/>
  <c r="AE180" i="2" s="1"/>
  <c r="AF179" i="2"/>
  <c r="AE179" i="2" s="1"/>
  <c r="AF178" i="2"/>
  <c r="AE178" i="2" s="1"/>
  <c r="AF177" i="2"/>
  <c r="AE177" i="2" s="1"/>
  <c r="AF176" i="2"/>
  <c r="AE176" i="2" s="1"/>
  <c r="AF175" i="2"/>
  <c r="AE175" i="2" s="1"/>
  <c r="AF174" i="2"/>
  <c r="AE174" i="2" s="1"/>
  <c r="AF173" i="2"/>
  <c r="AE173" i="2" s="1"/>
  <c r="AF172" i="2"/>
  <c r="AE172" i="2" s="1"/>
  <c r="AF171" i="2"/>
  <c r="AE171" i="2" s="1"/>
  <c r="AF170" i="2"/>
  <c r="AE170" i="2" s="1"/>
  <c r="AF169" i="2"/>
  <c r="AE169" i="2" s="1"/>
  <c r="AF168" i="2"/>
  <c r="AE168" i="2" s="1"/>
  <c r="AF167" i="2"/>
  <c r="AE167" i="2" s="1"/>
  <c r="AF166" i="2"/>
  <c r="AE166" i="2" s="1"/>
  <c r="AF165" i="2"/>
  <c r="AF164" i="2"/>
  <c r="AE164" i="2" s="1"/>
  <c r="AF163" i="2"/>
  <c r="AE163" i="2" s="1"/>
  <c r="AF162" i="2"/>
  <c r="AE162" i="2" s="1"/>
  <c r="AF161" i="2"/>
  <c r="AE161" i="2" s="1"/>
  <c r="AF160" i="2"/>
  <c r="AE160" i="2" s="1"/>
  <c r="AF159" i="2"/>
  <c r="AE159" i="2" s="1"/>
  <c r="AF158" i="2"/>
  <c r="AE158" i="2" s="1"/>
  <c r="AF157" i="2"/>
  <c r="AF156" i="2"/>
  <c r="AE156" i="2" s="1"/>
  <c r="AF155" i="2"/>
  <c r="AE155" i="2" s="1"/>
  <c r="AF154" i="2"/>
  <c r="AE154" i="2" s="1"/>
  <c r="AF153" i="2"/>
  <c r="AE153" i="2" s="1"/>
  <c r="AF152" i="2"/>
  <c r="AE152" i="2" s="1"/>
  <c r="AF151" i="2"/>
  <c r="AE151" i="2" s="1"/>
  <c r="AF150" i="2"/>
  <c r="AE150" i="2" s="1"/>
  <c r="AF149" i="2"/>
  <c r="AE149" i="2" s="1"/>
  <c r="AF148" i="2"/>
  <c r="AE148" i="2" s="1"/>
  <c r="AF147" i="2"/>
  <c r="AE147" i="2" s="1"/>
  <c r="AF146" i="2"/>
  <c r="AE146" i="2" s="1"/>
  <c r="AB186" i="2"/>
  <c r="AB185" i="2"/>
  <c r="AB184" i="2"/>
  <c r="AB182" i="2"/>
  <c r="AB178" i="2"/>
  <c r="AB177" i="2"/>
  <c r="AB176" i="2"/>
  <c r="AB174" i="2"/>
  <c r="AB170" i="2"/>
  <c r="AB169" i="2"/>
  <c r="AB168" i="2"/>
  <c r="AB166" i="2"/>
  <c r="AB162" i="2"/>
  <c r="AB161" i="2"/>
  <c r="AB160" i="2"/>
  <c r="AB158" i="2"/>
  <c r="AB154" i="2"/>
  <c r="AB153" i="2"/>
  <c r="AB152" i="2"/>
  <c r="AB150" i="2"/>
  <c r="AB146" i="2"/>
  <c r="Y186" i="2"/>
  <c r="Y185" i="2"/>
  <c r="Y184" i="2"/>
  <c r="Y182" i="2"/>
  <c r="Y178" i="2"/>
  <c r="Y177" i="2"/>
  <c r="Y176" i="2"/>
  <c r="Y175" i="2"/>
  <c r="Y174" i="2"/>
  <c r="Y171" i="2"/>
  <c r="Y170" i="2"/>
  <c r="Y169" i="2"/>
  <c r="Y168" i="2"/>
  <c r="Y166" i="2"/>
  <c r="Y163" i="2"/>
  <c r="Y162" i="2"/>
  <c r="Y161" i="2"/>
  <c r="Y160" i="2"/>
  <c r="Y159" i="2"/>
  <c r="Y158" i="2"/>
  <c r="Y155" i="2"/>
  <c r="Y154" i="2"/>
  <c r="Y153" i="2"/>
  <c r="Y152" i="2"/>
  <c r="Y150" i="2"/>
  <c r="Y147" i="2"/>
  <c r="Y146" i="2"/>
  <c r="V187" i="2"/>
  <c r="V186" i="2"/>
  <c r="V185" i="2"/>
  <c r="V184" i="2"/>
  <c r="V182" i="2"/>
  <c r="V179" i="2"/>
  <c r="V178" i="2"/>
  <c r="V177" i="2"/>
  <c r="V176" i="2"/>
  <c r="V175" i="2"/>
  <c r="V174" i="2"/>
  <c r="V171" i="2"/>
  <c r="V170" i="2"/>
  <c r="V169" i="2"/>
  <c r="V168" i="2"/>
  <c r="V166" i="2"/>
  <c r="V163" i="2"/>
  <c r="V162" i="2"/>
  <c r="V161" i="2"/>
  <c r="V160" i="2"/>
  <c r="V158" i="2"/>
  <c r="V153" i="2"/>
  <c r="V152" i="2"/>
  <c r="V151" i="2"/>
  <c r="V150" i="2"/>
  <c r="V146" i="2"/>
  <c r="S186" i="2"/>
  <c r="S185" i="2"/>
  <c r="S184" i="2"/>
  <c r="S183" i="2"/>
  <c r="S182" i="2"/>
  <c r="S178" i="2"/>
  <c r="S177" i="2"/>
  <c r="S176" i="2"/>
  <c r="S175" i="2"/>
  <c r="S174" i="2"/>
  <c r="S171" i="2"/>
  <c r="S170" i="2"/>
  <c r="S169" i="2"/>
  <c r="S168" i="2"/>
  <c r="S167" i="2"/>
  <c r="S166" i="2"/>
  <c r="S162" i="2"/>
  <c r="S161" i="2"/>
  <c r="S160" i="2"/>
  <c r="S159" i="2"/>
  <c r="S158" i="2"/>
  <c r="S155" i="2"/>
  <c r="S154" i="2"/>
  <c r="S153" i="2"/>
  <c r="S152" i="2"/>
  <c r="S151" i="2"/>
  <c r="S150" i="2"/>
  <c r="S147" i="2"/>
  <c r="S146" i="2"/>
  <c r="P187" i="2"/>
  <c r="P186" i="2"/>
  <c r="P185" i="2"/>
  <c r="P184" i="2"/>
  <c r="P183" i="2"/>
  <c r="P182" i="2"/>
  <c r="P179" i="2"/>
  <c r="P178" i="2"/>
  <c r="P177" i="2"/>
  <c r="P176" i="2"/>
  <c r="P174" i="2"/>
  <c r="P171" i="2"/>
  <c r="P170" i="2"/>
  <c r="P169" i="2"/>
  <c r="P168" i="2"/>
  <c r="P167" i="2"/>
  <c r="P166" i="2"/>
  <c r="P163" i="2"/>
  <c r="P162" i="2"/>
  <c r="P161" i="2"/>
  <c r="P160" i="2"/>
  <c r="P158" i="2"/>
  <c r="P155" i="2"/>
  <c r="P154" i="2"/>
  <c r="P153" i="2"/>
  <c r="P152" i="2"/>
  <c r="P151" i="2"/>
  <c r="P150" i="2"/>
  <c r="P147" i="2"/>
  <c r="P146" i="2"/>
  <c r="M146" i="2"/>
  <c r="M147" i="2"/>
  <c r="M148" i="2"/>
  <c r="M149" i="2"/>
  <c r="M150" i="2"/>
  <c r="M153" i="2"/>
  <c r="M154" i="2"/>
  <c r="M155" i="2"/>
  <c r="M156" i="2"/>
  <c r="M157" i="2"/>
  <c r="M158" i="2"/>
  <c r="M161" i="2"/>
  <c r="M162" i="2"/>
  <c r="M163" i="2"/>
  <c r="M164" i="2"/>
  <c r="M165" i="2"/>
  <c r="M166" i="2"/>
  <c r="M170" i="2"/>
  <c r="M171" i="2"/>
  <c r="M172" i="2"/>
  <c r="M173" i="2"/>
  <c r="M174" i="2"/>
  <c r="M177" i="2"/>
  <c r="M178" i="2"/>
  <c r="M179" i="2"/>
  <c r="M180" i="2"/>
  <c r="M181" i="2"/>
  <c r="M182" i="2"/>
  <c r="M184" i="2"/>
  <c r="M185" i="2"/>
  <c r="M186" i="2"/>
  <c r="M187" i="2"/>
  <c r="M188" i="2"/>
  <c r="M189" i="2"/>
  <c r="AE188" i="2"/>
  <c r="AE181" i="2"/>
  <c r="AE165" i="2"/>
  <c r="AE157" i="2"/>
  <c r="AB189" i="2"/>
  <c r="AB188" i="2"/>
  <c r="AB187" i="2"/>
  <c r="AB183" i="2"/>
  <c r="AB181" i="2"/>
  <c r="AB180" i="2"/>
  <c r="AB179" i="2"/>
  <c r="AB175" i="2"/>
  <c r="AB173" i="2"/>
  <c r="AB172" i="2"/>
  <c r="AB171" i="2"/>
  <c r="AB167" i="2"/>
  <c r="AB165" i="2"/>
  <c r="AB164" i="2"/>
  <c r="AB163" i="2"/>
  <c r="AB159" i="2"/>
  <c r="AB157" i="2"/>
  <c r="AB156" i="2"/>
  <c r="AB155" i="2"/>
  <c r="AB151" i="2"/>
  <c r="AB149" i="2"/>
  <c r="AB148" i="2"/>
  <c r="AB147" i="2"/>
  <c r="Y189" i="2"/>
  <c r="Y188" i="2"/>
  <c r="Y187" i="2"/>
  <c r="Y183" i="2"/>
  <c r="Y181" i="2"/>
  <c r="Y180" i="2"/>
  <c r="Y179" i="2"/>
  <c r="Y173" i="2"/>
  <c r="Y172" i="2"/>
  <c r="Y167" i="2"/>
  <c r="Y165" i="2"/>
  <c r="Y164" i="2"/>
  <c r="Y157" i="2"/>
  <c r="Y156" i="2"/>
  <c r="Y151" i="2"/>
  <c r="Y149" i="2"/>
  <c r="Y148" i="2"/>
  <c r="V189" i="2"/>
  <c r="V188" i="2"/>
  <c r="V183" i="2"/>
  <c r="V181" i="2"/>
  <c r="V180" i="2"/>
  <c r="V173" i="2"/>
  <c r="V172" i="2"/>
  <c r="V167" i="2"/>
  <c r="V165" i="2"/>
  <c r="V164" i="2"/>
  <c r="V159" i="2"/>
  <c r="V157" i="2"/>
  <c r="V156" i="2"/>
  <c r="V155" i="2"/>
  <c r="V154" i="2"/>
  <c r="V149" i="2"/>
  <c r="V148" i="2"/>
  <c r="V147" i="2"/>
  <c r="S189" i="2"/>
  <c r="S188" i="2"/>
  <c r="S187" i="2"/>
  <c r="S181" i="2"/>
  <c r="S180" i="2"/>
  <c r="S179" i="2"/>
  <c r="S173" i="2"/>
  <c r="S172" i="2"/>
  <c r="S165" i="2"/>
  <c r="S164" i="2"/>
  <c r="S163" i="2"/>
  <c r="S157" i="2"/>
  <c r="S156" i="2"/>
  <c r="S149" i="2"/>
  <c r="S148" i="2"/>
  <c r="P189" i="2"/>
  <c r="P188" i="2"/>
  <c r="P181" i="2"/>
  <c r="P180" i="2"/>
  <c r="P175" i="2"/>
  <c r="P173" i="2"/>
  <c r="P172" i="2"/>
  <c r="P165" i="2"/>
  <c r="P164" i="2"/>
  <c r="P159" i="2"/>
  <c r="P157" i="2"/>
  <c r="P156" i="2"/>
  <c r="P149" i="2"/>
  <c r="P148" i="2"/>
  <c r="M183" i="2"/>
  <c r="M176" i="2"/>
  <c r="M175" i="2"/>
  <c r="M169" i="2"/>
  <c r="M168" i="2"/>
  <c r="M167" i="2"/>
  <c r="M160" i="2"/>
  <c r="M159" i="2"/>
  <c r="M152" i="2"/>
  <c r="M151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B95" i="2"/>
  <c r="AB94" i="2"/>
  <c r="AB93" i="2"/>
  <c r="AB92" i="2"/>
  <c r="AB91" i="2"/>
  <c r="AB90" i="2"/>
  <c r="AB89" i="2"/>
  <c r="AB88" i="2"/>
  <c r="AB87" i="2"/>
  <c r="AB86" i="2"/>
  <c r="AB85" i="2"/>
  <c r="AB84" i="2"/>
  <c r="AB83" i="2"/>
  <c r="AB82" i="2"/>
  <c r="AB81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Y95" i="2"/>
  <c r="Y94" i="2"/>
  <c r="Y93" i="2"/>
  <c r="Y92" i="2"/>
  <c r="Y91" i="2"/>
  <c r="Y90" i="2"/>
  <c r="Y89" i="2"/>
  <c r="Y88" i="2"/>
  <c r="Y87" i="2"/>
  <c r="Y86" i="2"/>
  <c r="Y85" i="2"/>
  <c r="Y84" i="2"/>
  <c r="Y83" i="2"/>
  <c r="Y82" i="2"/>
  <c r="Y81" i="2"/>
  <c r="Y80" i="2"/>
  <c r="Y79" i="2"/>
  <c r="Y78" i="2"/>
  <c r="Y77" i="2"/>
  <c r="Y76" i="2"/>
  <c r="Y75" i="2"/>
  <c r="Y74" i="2"/>
  <c r="Y73" i="2"/>
  <c r="Y72" i="2"/>
  <c r="Y71" i="2"/>
  <c r="Y70" i="2"/>
  <c r="Y69" i="2"/>
  <c r="Y68" i="2"/>
  <c r="Y67" i="2"/>
  <c r="Y66" i="2"/>
  <c r="Y65" i="2"/>
  <c r="Y64" i="2"/>
  <c r="Y63" i="2"/>
  <c r="Y62" i="2"/>
  <c r="Y61" i="2"/>
  <c r="Y60" i="2"/>
  <c r="Y59" i="2"/>
  <c r="Y58" i="2"/>
  <c r="Y57" i="2"/>
  <c r="Y56" i="2"/>
  <c r="Y55" i="2"/>
  <c r="Y54" i="2"/>
  <c r="Y53" i="2"/>
  <c r="Y52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AJ146" i="2" l="1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F146" i="2" l="1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C240" i="2" l="1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BJ3" i="2"/>
  <c r="AM283" i="2" l="1"/>
  <c r="AN283" i="2" s="1"/>
  <c r="AK283" i="2"/>
  <c r="AM282" i="2"/>
  <c r="AN282" i="2" s="1"/>
  <c r="AK282" i="2"/>
  <c r="AM281" i="2"/>
  <c r="AN281" i="2" s="1"/>
  <c r="AK281" i="2"/>
  <c r="AM280" i="2"/>
  <c r="AN280" i="2" s="1"/>
  <c r="AK280" i="2"/>
  <c r="AM279" i="2"/>
  <c r="AN279" i="2" s="1"/>
  <c r="AK279" i="2"/>
  <c r="AM278" i="2"/>
  <c r="AN278" i="2" s="1"/>
  <c r="AK278" i="2"/>
  <c r="AM277" i="2"/>
  <c r="AN277" i="2" s="1"/>
  <c r="AK277" i="2"/>
  <c r="AM276" i="2"/>
  <c r="AN276" i="2" s="1"/>
  <c r="AK276" i="2"/>
  <c r="AM275" i="2"/>
  <c r="AN275" i="2" s="1"/>
  <c r="AK275" i="2"/>
  <c r="AM274" i="2"/>
  <c r="AN274" i="2" s="1"/>
  <c r="AK274" i="2"/>
  <c r="AM273" i="2"/>
  <c r="AN273" i="2" s="1"/>
  <c r="AK273" i="2"/>
  <c r="AM272" i="2"/>
  <c r="AN272" i="2" s="1"/>
  <c r="AK272" i="2"/>
  <c r="AM271" i="2"/>
  <c r="AN271" i="2" s="1"/>
  <c r="AK271" i="2"/>
  <c r="AM270" i="2"/>
  <c r="AN270" i="2" s="1"/>
  <c r="AK270" i="2"/>
  <c r="AM269" i="2"/>
  <c r="AN269" i="2" s="1"/>
  <c r="AK269" i="2"/>
  <c r="AM268" i="2"/>
  <c r="AN268" i="2" s="1"/>
  <c r="AK268" i="2"/>
  <c r="AM267" i="2"/>
  <c r="AN267" i="2" s="1"/>
  <c r="AK267" i="2"/>
  <c r="AM266" i="2"/>
  <c r="AN266" i="2" s="1"/>
  <c r="AK266" i="2"/>
  <c r="AM265" i="2"/>
  <c r="AN265" i="2" s="1"/>
  <c r="AK265" i="2"/>
  <c r="AM264" i="2"/>
  <c r="AN264" i="2" s="1"/>
  <c r="AK264" i="2"/>
  <c r="AM263" i="2"/>
  <c r="AN263" i="2" s="1"/>
  <c r="AK263" i="2"/>
  <c r="AM262" i="2"/>
  <c r="AN262" i="2" s="1"/>
  <c r="AK262" i="2"/>
  <c r="AM261" i="2"/>
  <c r="AN261" i="2" s="1"/>
  <c r="AK261" i="2"/>
  <c r="AM260" i="2"/>
  <c r="AN260" i="2" s="1"/>
  <c r="AK260" i="2"/>
  <c r="AM259" i="2"/>
  <c r="AN259" i="2" s="1"/>
  <c r="AK259" i="2"/>
  <c r="AM258" i="2"/>
  <c r="AN258" i="2" s="1"/>
  <c r="AK258" i="2"/>
  <c r="AM257" i="2"/>
  <c r="AN257" i="2" s="1"/>
  <c r="AK257" i="2"/>
  <c r="AM256" i="2"/>
  <c r="AN256" i="2" s="1"/>
  <c r="AK256" i="2"/>
  <c r="AM255" i="2"/>
  <c r="AN255" i="2" s="1"/>
  <c r="AK255" i="2"/>
  <c r="AM254" i="2"/>
  <c r="AN254" i="2" s="1"/>
  <c r="AK254" i="2"/>
  <c r="AM253" i="2"/>
  <c r="AN253" i="2" s="1"/>
  <c r="AK253" i="2"/>
  <c r="AM252" i="2"/>
  <c r="AN252" i="2" s="1"/>
  <c r="AK252" i="2"/>
  <c r="AM251" i="2"/>
  <c r="AN251" i="2" s="1"/>
  <c r="AK251" i="2"/>
  <c r="AM250" i="2"/>
  <c r="AN250" i="2" s="1"/>
  <c r="AK250" i="2"/>
  <c r="AM249" i="2"/>
  <c r="AN249" i="2" s="1"/>
  <c r="AK249" i="2"/>
  <c r="AM248" i="2"/>
  <c r="AN248" i="2" s="1"/>
  <c r="AK248" i="2"/>
  <c r="AM247" i="2"/>
  <c r="AN247" i="2" s="1"/>
  <c r="AK247" i="2"/>
  <c r="AM246" i="2"/>
  <c r="AN246" i="2" s="1"/>
  <c r="AK246" i="2"/>
  <c r="AM245" i="2"/>
  <c r="AN245" i="2" s="1"/>
  <c r="AK245" i="2"/>
  <c r="AM244" i="2"/>
  <c r="AN244" i="2" s="1"/>
  <c r="AK244" i="2"/>
  <c r="AM243" i="2"/>
  <c r="AN243" i="2" s="1"/>
  <c r="AK243" i="2"/>
  <c r="AM242" i="2"/>
  <c r="AN242" i="2" s="1"/>
  <c r="AK242" i="2"/>
  <c r="AM241" i="2"/>
  <c r="AN241" i="2" s="1"/>
  <c r="AK241" i="2"/>
  <c r="AM240" i="2"/>
  <c r="AN240" i="2" s="1"/>
  <c r="AK240" i="2"/>
  <c r="AM239" i="2"/>
  <c r="AN239" i="2" s="1"/>
  <c r="C239" i="2"/>
  <c r="AK239" i="2" s="1"/>
  <c r="AM238" i="2"/>
  <c r="AN238" i="2" s="1"/>
  <c r="C238" i="2"/>
  <c r="AK238" i="2" s="1"/>
  <c r="AM237" i="2"/>
  <c r="AN237" i="2" s="1"/>
  <c r="C237" i="2"/>
  <c r="AK237" i="2" s="1"/>
  <c r="AM236" i="2"/>
  <c r="AN236" i="2" s="1"/>
  <c r="C236" i="2"/>
  <c r="AK236" i="2" s="1"/>
  <c r="AM235" i="2"/>
  <c r="AN235" i="2" s="1"/>
  <c r="C235" i="2"/>
  <c r="AK235" i="2" s="1"/>
  <c r="AM234" i="2"/>
  <c r="AN234" i="2" s="1"/>
  <c r="C234" i="2"/>
  <c r="AK234" i="2" s="1"/>
  <c r="AM233" i="2"/>
  <c r="AN233" i="2" s="1"/>
  <c r="C233" i="2"/>
  <c r="AK233" i="2" s="1"/>
  <c r="AM232" i="2"/>
  <c r="AN232" i="2" s="1"/>
  <c r="C232" i="2"/>
  <c r="AK232" i="2" s="1"/>
  <c r="AM231" i="2"/>
  <c r="AN231" i="2" s="1"/>
  <c r="C231" i="2"/>
  <c r="AK231" i="2" s="1"/>
  <c r="AM230" i="2"/>
  <c r="AN230" i="2" s="1"/>
  <c r="C230" i="2"/>
  <c r="AK230" i="2" s="1"/>
  <c r="AM229" i="2"/>
  <c r="AN229" i="2" s="1"/>
  <c r="C229" i="2"/>
  <c r="AK229" i="2" s="1"/>
  <c r="AM228" i="2"/>
  <c r="AN228" i="2" s="1"/>
  <c r="C228" i="2"/>
  <c r="AK228" i="2" s="1"/>
  <c r="AM227" i="2"/>
  <c r="AN227" i="2" s="1"/>
  <c r="C227" i="2"/>
  <c r="AK227" i="2" s="1"/>
  <c r="AM226" i="2"/>
  <c r="AN226" i="2" s="1"/>
  <c r="C226" i="2"/>
  <c r="AK226" i="2" s="1"/>
  <c r="AM225" i="2"/>
  <c r="AN225" i="2" s="1"/>
  <c r="C225" i="2"/>
  <c r="AK225" i="2" s="1"/>
  <c r="AM224" i="2"/>
  <c r="AN224" i="2" s="1"/>
  <c r="C224" i="2"/>
  <c r="AK224" i="2" s="1"/>
  <c r="AM223" i="2"/>
  <c r="AN223" i="2" s="1"/>
  <c r="C223" i="2"/>
  <c r="AK223" i="2" s="1"/>
  <c r="AM222" i="2"/>
  <c r="AN222" i="2" s="1"/>
  <c r="C222" i="2"/>
  <c r="AK222" i="2" s="1"/>
  <c r="AM221" i="2"/>
  <c r="AN221" i="2" s="1"/>
  <c r="C221" i="2"/>
  <c r="AK221" i="2" s="1"/>
  <c r="AM220" i="2"/>
  <c r="AN220" i="2" s="1"/>
  <c r="C220" i="2"/>
  <c r="AK220" i="2" s="1"/>
  <c r="AM219" i="2"/>
  <c r="AN219" i="2" s="1"/>
  <c r="C219" i="2"/>
  <c r="AK219" i="2" s="1"/>
  <c r="AM218" i="2"/>
  <c r="AN218" i="2" s="1"/>
  <c r="C218" i="2"/>
  <c r="AK218" i="2" s="1"/>
  <c r="AM217" i="2"/>
  <c r="AN217" i="2" s="1"/>
  <c r="C217" i="2"/>
  <c r="AK217" i="2" s="1"/>
  <c r="AM216" i="2"/>
  <c r="AN216" i="2" s="1"/>
  <c r="C216" i="2"/>
  <c r="AK216" i="2" s="1"/>
  <c r="AM215" i="2"/>
  <c r="AN215" i="2" s="1"/>
  <c r="C215" i="2"/>
  <c r="AK215" i="2" s="1"/>
  <c r="AM214" i="2"/>
  <c r="AN214" i="2" s="1"/>
  <c r="C214" i="2"/>
  <c r="AK214" i="2" s="1"/>
  <c r="AM213" i="2"/>
  <c r="AN213" i="2" s="1"/>
  <c r="C213" i="2"/>
  <c r="AK213" i="2" s="1"/>
  <c r="AM212" i="2"/>
  <c r="AN212" i="2" s="1"/>
  <c r="C212" i="2"/>
  <c r="AK212" i="2" s="1"/>
  <c r="AM211" i="2"/>
  <c r="AN211" i="2" s="1"/>
  <c r="C211" i="2"/>
  <c r="AK211" i="2" s="1"/>
  <c r="AM210" i="2"/>
  <c r="AN210" i="2" s="1"/>
  <c r="C210" i="2"/>
  <c r="AK210" i="2" s="1"/>
  <c r="AM209" i="2"/>
  <c r="AN209" i="2" s="1"/>
  <c r="C209" i="2"/>
  <c r="AK209" i="2" s="1"/>
  <c r="AM208" i="2"/>
  <c r="AN208" i="2" s="1"/>
  <c r="C208" i="2"/>
  <c r="AK208" i="2" s="1"/>
  <c r="AM207" i="2"/>
  <c r="AN207" i="2" s="1"/>
  <c r="C207" i="2"/>
  <c r="AK207" i="2" s="1"/>
  <c r="AM206" i="2"/>
  <c r="AN206" i="2" s="1"/>
  <c r="C206" i="2"/>
  <c r="AK206" i="2" s="1"/>
  <c r="AM205" i="2"/>
  <c r="AN205" i="2" s="1"/>
  <c r="C205" i="2"/>
  <c r="AK205" i="2" s="1"/>
  <c r="AM204" i="2"/>
  <c r="AN204" i="2" s="1"/>
  <c r="C204" i="2"/>
  <c r="AK204" i="2" s="1"/>
  <c r="AM203" i="2"/>
  <c r="AN203" i="2" s="1"/>
  <c r="C203" i="2"/>
  <c r="AK203" i="2" s="1"/>
  <c r="AM202" i="2"/>
  <c r="AN202" i="2" s="1"/>
  <c r="C202" i="2"/>
  <c r="AK202" i="2" s="1"/>
  <c r="AM201" i="2"/>
  <c r="AN201" i="2" s="1"/>
  <c r="C201" i="2"/>
  <c r="AK201" i="2" s="1"/>
  <c r="AM200" i="2"/>
  <c r="AN200" i="2" s="1"/>
  <c r="C200" i="2"/>
  <c r="AK200" i="2" s="1"/>
  <c r="AM199" i="2"/>
  <c r="AN199" i="2" s="1"/>
  <c r="C199" i="2"/>
  <c r="AK199" i="2" s="1"/>
  <c r="AM198" i="2"/>
  <c r="AN198" i="2" s="1"/>
  <c r="C198" i="2"/>
  <c r="AK198" i="2" s="1"/>
  <c r="AM197" i="2"/>
  <c r="AN197" i="2" s="1"/>
  <c r="C197" i="2"/>
  <c r="AK197" i="2" s="1"/>
  <c r="AM189" i="2"/>
  <c r="AN189" i="2" s="1"/>
  <c r="AK189" i="2"/>
  <c r="AM188" i="2"/>
  <c r="AN188" i="2" s="1"/>
  <c r="AK188" i="2"/>
  <c r="AM187" i="2"/>
  <c r="AN187" i="2" s="1"/>
  <c r="AK187" i="2"/>
  <c r="AM186" i="2"/>
  <c r="AN186" i="2" s="1"/>
  <c r="AK186" i="2"/>
  <c r="AM185" i="2"/>
  <c r="AN185" i="2" s="1"/>
  <c r="AK185" i="2"/>
  <c r="AM184" i="2"/>
  <c r="AN184" i="2" s="1"/>
  <c r="AK184" i="2"/>
  <c r="AM183" i="2"/>
  <c r="AN183" i="2" s="1"/>
  <c r="AK183" i="2"/>
  <c r="AM182" i="2"/>
  <c r="AN182" i="2" s="1"/>
  <c r="AK182" i="2"/>
  <c r="AM181" i="2"/>
  <c r="AN181" i="2" s="1"/>
  <c r="AK181" i="2"/>
  <c r="AM180" i="2"/>
  <c r="AN180" i="2" s="1"/>
  <c r="AK180" i="2"/>
  <c r="AM179" i="2"/>
  <c r="AN179" i="2" s="1"/>
  <c r="AK179" i="2"/>
  <c r="AM178" i="2"/>
  <c r="AN178" i="2" s="1"/>
  <c r="AK178" i="2"/>
  <c r="AM177" i="2"/>
  <c r="AN177" i="2" s="1"/>
  <c r="AK177" i="2"/>
  <c r="AM176" i="2"/>
  <c r="AN176" i="2" s="1"/>
  <c r="AK176" i="2"/>
  <c r="AM175" i="2"/>
  <c r="AN175" i="2" s="1"/>
  <c r="AK175" i="2"/>
  <c r="AM174" i="2"/>
  <c r="AN174" i="2" s="1"/>
  <c r="AK174" i="2"/>
  <c r="AM173" i="2"/>
  <c r="AN173" i="2" s="1"/>
  <c r="AK173" i="2"/>
  <c r="AM172" i="2"/>
  <c r="AN172" i="2" s="1"/>
  <c r="AK172" i="2"/>
  <c r="AM171" i="2"/>
  <c r="AN171" i="2" s="1"/>
  <c r="AK171" i="2"/>
  <c r="AM170" i="2"/>
  <c r="AN170" i="2" s="1"/>
  <c r="AK170" i="2"/>
  <c r="AM169" i="2"/>
  <c r="AN169" i="2" s="1"/>
  <c r="AK169" i="2"/>
  <c r="AM168" i="2"/>
  <c r="AN168" i="2" s="1"/>
  <c r="AK168" i="2"/>
  <c r="AM167" i="2"/>
  <c r="AN167" i="2" s="1"/>
  <c r="AK167" i="2"/>
  <c r="AM166" i="2"/>
  <c r="AN166" i="2" s="1"/>
  <c r="AK166" i="2"/>
  <c r="AM165" i="2"/>
  <c r="AN165" i="2" s="1"/>
  <c r="AK165" i="2"/>
  <c r="AM164" i="2"/>
  <c r="AN164" i="2" s="1"/>
  <c r="AK164" i="2"/>
  <c r="AM163" i="2"/>
  <c r="AN163" i="2" s="1"/>
  <c r="AK163" i="2"/>
  <c r="AM162" i="2"/>
  <c r="AN162" i="2" s="1"/>
  <c r="AK162" i="2"/>
  <c r="AM161" i="2"/>
  <c r="AN161" i="2" s="1"/>
  <c r="AK161" i="2"/>
  <c r="AM160" i="2"/>
  <c r="AN160" i="2" s="1"/>
  <c r="AK160" i="2"/>
  <c r="AM159" i="2"/>
  <c r="AN159" i="2" s="1"/>
  <c r="AK159" i="2"/>
  <c r="AM158" i="2"/>
  <c r="AN158" i="2" s="1"/>
  <c r="AK158" i="2"/>
  <c r="AM157" i="2"/>
  <c r="AN157" i="2" s="1"/>
  <c r="AK157" i="2"/>
  <c r="AM156" i="2"/>
  <c r="AN156" i="2" s="1"/>
  <c r="AK156" i="2"/>
  <c r="AM155" i="2"/>
  <c r="AN155" i="2" s="1"/>
  <c r="AK155" i="2"/>
  <c r="AM154" i="2"/>
  <c r="AN154" i="2" s="1"/>
  <c r="AK154" i="2"/>
  <c r="AM153" i="2"/>
  <c r="AN153" i="2" s="1"/>
  <c r="AK153" i="2"/>
  <c r="AM152" i="2"/>
  <c r="AN152" i="2" s="1"/>
  <c r="AK152" i="2"/>
  <c r="AM151" i="2"/>
  <c r="AN151" i="2" s="1"/>
  <c r="AK151" i="2"/>
  <c r="AM150" i="2"/>
  <c r="AN150" i="2" s="1"/>
  <c r="AK150" i="2"/>
  <c r="AM149" i="2"/>
  <c r="AN149" i="2" s="1"/>
  <c r="AK149" i="2"/>
  <c r="AM148" i="2"/>
  <c r="AN148" i="2" s="1"/>
  <c r="AK148" i="2"/>
  <c r="AM147" i="2"/>
  <c r="AN147" i="2" s="1"/>
  <c r="AK147" i="2"/>
  <c r="AM146" i="2"/>
  <c r="AN146" i="2" s="1"/>
  <c r="AK146" i="2"/>
  <c r="AM145" i="2"/>
  <c r="AN145" i="2" s="1"/>
  <c r="C145" i="2"/>
  <c r="AK145" i="2" s="1"/>
  <c r="AM144" i="2"/>
  <c r="AN144" i="2" s="1"/>
  <c r="C144" i="2"/>
  <c r="AK144" i="2" s="1"/>
  <c r="AM143" i="2"/>
  <c r="AN143" i="2" s="1"/>
  <c r="C143" i="2"/>
  <c r="AK143" i="2" s="1"/>
  <c r="AM142" i="2"/>
  <c r="AN142" i="2" s="1"/>
  <c r="C142" i="2"/>
  <c r="AK142" i="2" s="1"/>
  <c r="AM141" i="2"/>
  <c r="AN141" i="2" s="1"/>
  <c r="C141" i="2"/>
  <c r="AK141" i="2" s="1"/>
  <c r="AM140" i="2"/>
  <c r="AN140" i="2" s="1"/>
  <c r="C140" i="2"/>
  <c r="AK140" i="2" s="1"/>
  <c r="AM139" i="2"/>
  <c r="AN139" i="2" s="1"/>
  <c r="C139" i="2"/>
  <c r="AK139" i="2" s="1"/>
  <c r="AM138" i="2"/>
  <c r="AN138" i="2" s="1"/>
  <c r="C138" i="2"/>
  <c r="AK138" i="2" s="1"/>
  <c r="AM137" i="2"/>
  <c r="AN137" i="2" s="1"/>
  <c r="C137" i="2"/>
  <c r="AK137" i="2" s="1"/>
  <c r="AM136" i="2"/>
  <c r="AN136" i="2" s="1"/>
  <c r="C136" i="2"/>
  <c r="AK136" i="2" s="1"/>
  <c r="AM135" i="2"/>
  <c r="AN135" i="2" s="1"/>
  <c r="C135" i="2"/>
  <c r="AK135" i="2" s="1"/>
  <c r="AM134" i="2"/>
  <c r="AN134" i="2" s="1"/>
  <c r="C134" i="2"/>
  <c r="AK134" i="2" s="1"/>
  <c r="AM133" i="2"/>
  <c r="AN133" i="2" s="1"/>
  <c r="C133" i="2"/>
  <c r="AK133" i="2" s="1"/>
  <c r="AM132" i="2"/>
  <c r="AN132" i="2" s="1"/>
  <c r="C132" i="2"/>
  <c r="AK132" i="2" s="1"/>
  <c r="AM131" i="2"/>
  <c r="AN131" i="2" s="1"/>
  <c r="C131" i="2"/>
  <c r="AK131" i="2" s="1"/>
  <c r="AM130" i="2"/>
  <c r="AN130" i="2" s="1"/>
  <c r="C130" i="2"/>
  <c r="AK130" i="2" s="1"/>
  <c r="AM129" i="2"/>
  <c r="AN129" i="2" s="1"/>
  <c r="C129" i="2"/>
  <c r="AK129" i="2" s="1"/>
  <c r="AM128" i="2"/>
  <c r="AN128" i="2" s="1"/>
  <c r="C128" i="2"/>
  <c r="AK128" i="2" s="1"/>
  <c r="AM127" i="2"/>
  <c r="AN127" i="2" s="1"/>
  <c r="C127" i="2"/>
  <c r="AK127" i="2" s="1"/>
  <c r="AM126" i="2"/>
  <c r="AN126" i="2" s="1"/>
  <c r="C126" i="2"/>
  <c r="AK126" i="2" s="1"/>
  <c r="AM125" i="2"/>
  <c r="AN125" i="2" s="1"/>
  <c r="C125" i="2"/>
  <c r="AK125" i="2" s="1"/>
  <c r="AM124" i="2"/>
  <c r="AN124" i="2" s="1"/>
  <c r="C124" i="2"/>
  <c r="AK124" i="2" s="1"/>
  <c r="AM123" i="2"/>
  <c r="AN123" i="2" s="1"/>
  <c r="C123" i="2"/>
  <c r="AK123" i="2" s="1"/>
  <c r="AM122" i="2"/>
  <c r="AN122" i="2" s="1"/>
  <c r="C122" i="2"/>
  <c r="AK122" i="2" s="1"/>
  <c r="AM121" i="2"/>
  <c r="AN121" i="2" s="1"/>
  <c r="C121" i="2"/>
  <c r="AK121" i="2" s="1"/>
  <c r="AM120" i="2"/>
  <c r="AN120" i="2" s="1"/>
  <c r="C120" i="2"/>
  <c r="AK120" i="2" s="1"/>
  <c r="AM119" i="2"/>
  <c r="AN119" i="2" s="1"/>
  <c r="C119" i="2"/>
  <c r="AK119" i="2" s="1"/>
  <c r="AM118" i="2"/>
  <c r="AN118" i="2" s="1"/>
  <c r="C118" i="2"/>
  <c r="AK118" i="2" s="1"/>
  <c r="AM117" i="2"/>
  <c r="AN117" i="2" s="1"/>
  <c r="C117" i="2"/>
  <c r="AK117" i="2" s="1"/>
  <c r="AM116" i="2"/>
  <c r="AN116" i="2" s="1"/>
  <c r="C116" i="2"/>
  <c r="AK116" i="2" s="1"/>
  <c r="AM115" i="2"/>
  <c r="AN115" i="2" s="1"/>
  <c r="C115" i="2"/>
  <c r="AK115" i="2" s="1"/>
  <c r="AM114" i="2"/>
  <c r="AN114" i="2" s="1"/>
  <c r="C114" i="2"/>
  <c r="AK114" i="2" s="1"/>
  <c r="AM113" i="2"/>
  <c r="AN113" i="2" s="1"/>
  <c r="C113" i="2"/>
  <c r="AK113" i="2" s="1"/>
  <c r="AM112" i="2"/>
  <c r="AN112" i="2" s="1"/>
  <c r="C112" i="2"/>
  <c r="AK112" i="2" s="1"/>
  <c r="AM111" i="2"/>
  <c r="AN111" i="2" s="1"/>
  <c r="C111" i="2"/>
  <c r="AK111" i="2" s="1"/>
  <c r="AM110" i="2"/>
  <c r="AN110" i="2" s="1"/>
  <c r="C110" i="2"/>
  <c r="AK110" i="2" s="1"/>
  <c r="AM109" i="2"/>
  <c r="AN109" i="2" s="1"/>
  <c r="C109" i="2"/>
  <c r="AK109" i="2" s="1"/>
  <c r="AM108" i="2"/>
  <c r="AN108" i="2" s="1"/>
  <c r="C108" i="2"/>
  <c r="AK108" i="2" s="1"/>
  <c r="AM107" i="2"/>
  <c r="AN107" i="2" s="1"/>
  <c r="C107" i="2"/>
  <c r="AK107" i="2" s="1"/>
  <c r="AM106" i="2"/>
  <c r="AN106" i="2" s="1"/>
  <c r="C106" i="2"/>
  <c r="AK106" i="2" s="1"/>
  <c r="AM105" i="2"/>
  <c r="AN105" i="2" s="1"/>
  <c r="C105" i="2"/>
  <c r="AK105" i="2" s="1"/>
  <c r="AM104" i="2"/>
  <c r="AN104" i="2" s="1"/>
  <c r="C104" i="2"/>
  <c r="AK104" i="2" s="1"/>
  <c r="AM103" i="2"/>
  <c r="AN103" i="2" s="1"/>
  <c r="C103" i="2"/>
  <c r="AK103" i="2" s="1"/>
  <c r="AM95" i="2"/>
  <c r="AN95" i="2" s="1"/>
  <c r="AK95" i="2"/>
  <c r="AM94" i="2"/>
  <c r="AN94" i="2" s="1"/>
  <c r="AK94" i="2"/>
  <c r="AM93" i="2"/>
  <c r="AN93" i="2" s="1"/>
  <c r="AK93" i="2"/>
  <c r="AM92" i="2"/>
  <c r="AN92" i="2" s="1"/>
  <c r="AK92" i="2"/>
  <c r="AM91" i="2"/>
  <c r="AN91" i="2" s="1"/>
  <c r="AK91" i="2"/>
  <c r="AM90" i="2"/>
  <c r="AN90" i="2" s="1"/>
  <c r="AK90" i="2"/>
  <c r="AM89" i="2"/>
  <c r="AN89" i="2" s="1"/>
  <c r="AK89" i="2"/>
  <c r="AM88" i="2"/>
  <c r="AN88" i="2" s="1"/>
  <c r="AK88" i="2"/>
  <c r="AM87" i="2"/>
  <c r="AN87" i="2" s="1"/>
  <c r="AK87" i="2"/>
  <c r="AM86" i="2"/>
  <c r="AN86" i="2" s="1"/>
  <c r="AK86" i="2"/>
  <c r="AM85" i="2"/>
  <c r="AN85" i="2" s="1"/>
  <c r="AK85" i="2"/>
  <c r="AM84" i="2"/>
  <c r="AN84" i="2" s="1"/>
  <c r="AK84" i="2"/>
  <c r="AM83" i="2"/>
  <c r="AN83" i="2" s="1"/>
  <c r="AK83" i="2"/>
  <c r="AM82" i="2"/>
  <c r="AN82" i="2" s="1"/>
  <c r="AK82" i="2"/>
  <c r="AM81" i="2"/>
  <c r="AN81" i="2" s="1"/>
  <c r="AK81" i="2"/>
  <c r="AM80" i="2"/>
  <c r="AN80" i="2" s="1"/>
  <c r="AK80" i="2"/>
  <c r="AM79" i="2"/>
  <c r="AN79" i="2" s="1"/>
  <c r="AK79" i="2"/>
  <c r="AM78" i="2"/>
  <c r="AN78" i="2" s="1"/>
  <c r="AK78" i="2"/>
  <c r="AM77" i="2"/>
  <c r="AN77" i="2" s="1"/>
  <c r="AK77" i="2"/>
  <c r="AM76" i="2"/>
  <c r="AN76" i="2" s="1"/>
  <c r="AK76" i="2"/>
  <c r="AM75" i="2"/>
  <c r="AN75" i="2" s="1"/>
  <c r="AK75" i="2"/>
  <c r="AM74" i="2"/>
  <c r="AN74" i="2" s="1"/>
  <c r="AK74" i="2"/>
  <c r="AM73" i="2"/>
  <c r="AN73" i="2" s="1"/>
  <c r="AK73" i="2"/>
  <c r="AM72" i="2"/>
  <c r="AN72" i="2" s="1"/>
  <c r="AK72" i="2"/>
  <c r="AM71" i="2"/>
  <c r="AN71" i="2" s="1"/>
  <c r="AK71" i="2"/>
  <c r="AM70" i="2"/>
  <c r="AN70" i="2" s="1"/>
  <c r="AK70" i="2"/>
  <c r="AM69" i="2"/>
  <c r="AN69" i="2" s="1"/>
  <c r="AK69" i="2"/>
  <c r="AM68" i="2"/>
  <c r="AN68" i="2" s="1"/>
  <c r="AK68" i="2"/>
  <c r="AM67" i="2"/>
  <c r="AN67" i="2" s="1"/>
  <c r="AK67" i="2"/>
  <c r="AM66" i="2"/>
  <c r="AN66" i="2" s="1"/>
  <c r="AK66" i="2"/>
  <c r="AM65" i="2"/>
  <c r="AN65" i="2" s="1"/>
  <c r="AK65" i="2"/>
  <c r="AM64" i="2"/>
  <c r="AN64" i="2" s="1"/>
  <c r="AK64" i="2"/>
  <c r="AM63" i="2"/>
  <c r="AN63" i="2" s="1"/>
  <c r="AK63" i="2"/>
  <c r="AM62" i="2"/>
  <c r="AN62" i="2" s="1"/>
  <c r="AK62" i="2"/>
  <c r="AM61" i="2"/>
  <c r="AN61" i="2" s="1"/>
  <c r="AK61" i="2"/>
  <c r="AM60" i="2"/>
  <c r="AN60" i="2" s="1"/>
  <c r="AK60" i="2"/>
  <c r="AM59" i="2"/>
  <c r="AN59" i="2" s="1"/>
  <c r="AK59" i="2"/>
  <c r="AM58" i="2"/>
  <c r="AN58" i="2" s="1"/>
  <c r="AK58" i="2"/>
  <c r="AM57" i="2"/>
  <c r="AN57" i="2" s="1"/>
  <c r="AK57" i="2"/>
  <c r="AM56" i="2"/>
  <c r="AN56" i="2" s="1"/>
  <c r="AK56" i="2"/>
  <c r="AM55" i="2"/>
  <c r="AN55" i="2" s="1"/>
  <c r="AK55" i="2"/>
  <c r="AM54" i="2"/>
  <c r="AN54" i="2" s="1"/>
  <c r="AK54" i="2"/>
  <c r="AM53" i="2"/>
  <c r="AN53" i="2" s="1"/>
  <c r="AK53" i="2"/>
  <c r="AM52" i="2"/>
  <c r="AN52" i="2" s="1"/>
  <c r="AK52" i="2"/>
  <c r="AM51" i="2"/>
  <c r="AN51" i="2" s="1"/>
  <c r="C51" i="2"/>
  <c r="AK51" i="2" s="1"/>
  <c r="AM50" i="2"/>
  <c r="AN50" i="2" s="1"/>
  <c r="C50" i="2"/>
  <c r="AK50" i="2" s="1"/>
  <c r="AM49" i="2"/>
  <c r="AN49" i="2" s="1"/>
  <c r="C49" i="2"/>
  <c r="AK49" i="2" s="1"/>
  <c r="AM48" i="2"/>
  <c r="AN48" i="2" s="1"/>
  <c r="C48" i="2"/>
  <c r="AK48" i="2" s="1"/>
  <c r="AM47" i="2"/>
  <c r="AN47" i="2" s="1"/>
  <c r="C47" i="2"/>
  <c r="AK47" i="2" s="1"/>
  <c r="AM46" i="2"/>
  <c r="AN46" i="2" s="1"/>
  <c r="C46" i="2"/>
  <c r="AK46" i="2" s="1"/>
  <c r="AM45" i="2"/>
  <c r="AN45" i="2" s="1"/>
  <c r="C45" i="2"/>
  <c r="AK45" i="2" s="1"/>
  <c r="AM44" i="2"/>
  <c r="AN44" i="2" s="1"/>
  <c r="C44" i="2"/>
  <c r="AK44" i="2" s="1"/>
  <c r="AM43" i="2"/>
  <c r="AN43" i="2" s="1"/>
  <c r="C43" i="2"/>
  <c r="AK43" i="2" s="1"/>
  <c r="AM42" i="2"/>
  <c r="AN42" i="2" s="1"/>
  <c r="C42" i="2"/>
  <c r="AK42" i="2" s="1"/>
  <c r="AM41" i="2"/>
  <c r="AN41" i="2" s="1"/>
  <c r="C41" i="2"/>
  <c r="AK41" i="2" s="1"/>
  <c r="AM40" i="2"/>
  <c r="AN40" i="2" s="1"/>
  <c r="C40" i="2"/>
  <c r="AK40" i="2" s="1"/>
  <c r="AM39" i="2"/>
  <c r="AN39" i="2" s="1"/>
  <c r="C39" i="2"/>
  <c r="AK39" i="2" s="1"/>
  <c r="AM38" i="2"/>
  <c r="AN38" i="2" s="1"/>
  <c r="C38" i="2"/>
  <c r="AK38" i="2" s="1"/>
  <c r="AM37" i="2"/>
  <c r="AN37" i="2" s="1"/>
  <c r="C37" i="2"/>
  <c r="AK37" i="2" s="1"/>
  <c r="AM36" i="2"/>
  <c r="AN36" i="2" s="1"/>
  <c r="C36" i="2"/>
  <c r="AK36" i="2" s="1"/>
  <c r="AM35" i="2"/>
  <c r="AN35" i="2" s="1"/>
  <c r="C35" i="2"/>
  <c r="AK35" i="2" s="1"/>
  <c r="AM34" i="2"/>
  <c r="AN34" i="2" s="1"/>
  <c r="C34" i="2"/>
  <c r="AK34" i="2" s="1"/>
  <c r="AM33" i="2"/>
  <c r="AN33" i="2" s="1"/>
  <c r="C33" i="2"/>
  <c r="AK33" i="2" s="1"/>
  <c r="AM32" i="2"/>
  <c r="AN32" i="2" s="1"/>
  <c r="C32" i="2"/>
  <c r="AK32" i="2" s="1"/>
  <c r="AM31" i="2"/>
  <c r="AN31" i="2" s="1"/>
  <c r="C31" i="2"/>
  <c r="AK31" i="2" s="1"/>
  <c r="AM30" i="2"/>
  <c r="AN30" i="2" s="1"/>
  <c r="C30" i="2"/>
  <c r="AK30" i="2" s="1"/>
  <c r="AM29" i="2"/>
  <c r="AN29" i="2" s="1"/>
  <c r="C29" i="2"/>
  <c r="AK29" i="2" s="1"/>
  <c r="AM28" i="2"/>
  <c r="AN28" i="2" s="1"/>
  <c r="C28" i="2"/>
  <c r="AK28" i="2" s="1"/>
  <c r="AM27" i="2"/>
  <c r="AN27" i="2" s="1"/>
  <c r="C27" i="2"/>
  <c r="AK27" i="2" s="1"/>
  <c r="AM26" i="2"/>
  <c r="AN26" i="2" s="1"/>
  <c r="C26" i="2"/>
  <c r="AK26" i="2" s="1"/>
  <c r="AM25" i="2"/>
  <c r="AN25" i="2" s="1"/>
  <c r="C25" i="2"/>
  <c r="AK25" i="2" s="1"/>
  <c r="AM24" i="2"/>
  <c r="AN24" i="2" s="1"/>
  <c r="C24" i="2"/>
  <c r="AK24" i="2" s="1"/>
  <c r="AM23" i="2"/>
  <c r="AN23" i="2" s="1"/>
  <c r="C23" i="2"/>
  <c r="AK23" i="2" s="1"/>
  <c r="AM22" i="2"/>
  <c r="AN22" i="2" s="1"/>
  <c r="C22" i="2"/>
  <c r="AK22" i="2" s="1"/>
  <c r="AM21" i="2"/>
  <c r="AN21" i="2" s="1"/>
  <c r="C21" i="2"/>
  <c r="AK21" i="2" s="1"/>
  <c r="AM20" i="2"/>
  <c r="AN20" i="2" s="1"/>
  <c r="C20" i="2"/>
  <c r="AK20" i="2" s="1"/>
  <c r="AM19" i="2"/>
  <c r="AN19" i="2" s="1"/>
  <c r="C19" i="2"/>
  <c r="AK19" i="2" s="1"/>
  <c r="AM18" i="2"/>
  <c r="AN18" i="2" s="1"/>
  <c r="C18" i="2"/>
  <c r="AK18" i="2" s="1"/>
  <c r="AM17" i="2"/>
  <c r="AN17" i="2" s="1"/>
  <c r="C17" i="2"/>
  <c r="AK17" i="2" s="1"/>
  <c r="AM16" i="2"/>
  <c r="AN16" i="2" s="1"/>
  <c r="C16" i="2"/>
  <c r="AK16" i="2" s="1"/>
  <c r="AM15" i="2"/>
  <c r="AN15" i="2" s="1"/>
  <c r="C15" i="2"/>
  <c r="AK15" i="2" s="1"/>
  <c r="AM14" i="2"/>
  <c r="AN14" i="2" s="1"/>
  <c r="C14" i="2"/>
  <c r="AK14" i="2" s="1"/>
  <c r="AM13" i="2"/>
  <c r="AN13" i="2" s="1"/>
  <c r="C13" i="2"/>
  <c r="AK13" i="2" s="1"/>
  <c r="AM12" i="2"/>
  <c r="AN12" i="2" s="1"/>
  <c r="C12" i="2"/>
  <c r="AK12" i="2" s="1"/>
  <c r="AM11" i="2"/>
  <c r="AN11" i="2" s="1"/>
  <c r="C11" i="2"/>
  <c r="AK11" i="2" s="1"/>
  <c r="AM10" i="2"/>
  <c r="AN10" i="2" s="1"/>
  <c r="C10" i="2"/>
  <c r="AK10" i="2" s="1"/>
  <c r="AM9" i="2"/>
  <c r="AN9" i="2" s="1"/>
  <c r="C9" i="2"/>
  <c r="AK9" i="2" s="1"/>
</calcChain>
</file>

<file path=xl/sharedStrings.xml><?xml version="1.0" encoding="utf-8"?>
<sst xmlns="http://schemas.openxmlformats.org/spreadsheetml/2006/main" count="3442" uniqueCount="332">
  <si>
    <t>New Harmony &gt;&gt; New Solutions™</t>
  </si>
  <si>
    <t>Material:</t>
  </si>
  <si>
    <t>Especificação (%):</t>
  </si>
  <si>
    <t>C</t>
  </si>
  <si>
    <t>Mn</t>
  </si>
  <si>
    <t>Carbono</t>
  </si>
  <si>
    <t>Manganês</t>
  </si>
  <si>
    <t>Fósforo</t>
  </si>
  <si>
    <t>Enxofre</t>
  </si>
  <si>
    <t>Si</t>
  </si>
  <si>
    <t>P</t>
  </si>
  <si>
    <t>S</t>
  </si>
  <si>
    <t>0.80 - 1.20</t>
  </si>
  <si>
    <t>0.60 - 1.20</t>
  </si>
  <si>
    <t>Malha (#):</t>
  </si>
  <si>
    <t>Abertura (mm):</t>
  </si>
  <si>
    <t>Densidade</t>
  </si>
  <si>
    <t>Oco</t>
  </si>
  <si>
    <t>Porosidade</t>
  </si>
  <si>
    <t>Trinca</t>
  </si>
  <si>
    <t>Disforme</t>
  </si>
  <si>
    <t>Especificação:</t>
  </si>
  <si>
    <t>Especificação Técnica</t>
  </si>
  <si>
    <t>Composição Química</t>
  </si>
  <si>
    <t>Dureza</t>
  </si>
  <si>
    <t>Material</t>
  </si>
  <si>
    <t>Idioma</t>
  </si>
  <si>
    <t>Função Concatenar</t>
  </si>
  <si>
    <t>Granulometria</t>
  </si>
  <si>
    <t>Faixa de Dureza</t>
  </si>
  <si>
    <t>Peneiras Utilizadas</t>
  </si>
  <si>
    <t>Nome</t>
  </si>
  <si>
    <t>Lingua Portuguesa</t>
  </si>
  <si>
    <t>Concatenar</t>
  </si>
  <si>
    <t>Norma</t>
  </si>
  <si>
    <t>Valores</t>
  </si>
  <si>
    <t>abertura</t>
  </si>
  <si>
    <t>malha</t>
  </si>
  <si>
    <t>especificação</t>
  </si>
  <si>
    <t>Valor</t>
  </si>
  <si>
    <t>Shot S-70</t>
  </si>
  <si>
    <t>LINGUA PORTUGUESA</t>
  </si>
  <si>
    <t>Máx. 10%</t>
  </si>
  <si>
    <t>Min. 80%</t>
  </si>
  <si>
    <t>Shot S-110</t>
  </si>
  <si>
    <t>Shot S-170</t>
  </si>
  <si>
    <t>Shot S-230</t>
  </si>
  <si>
    <t>Shot S-280</t>
  </si>
  <si>
    <t>Máx. 5%</t>
  </si>
  <si>
    <t>Shot S-330</t>
  </si>
  <si>
    <t>Shot S-390</t>
  </si>
  <si>
    <t>Shot S-460</t>
  </si>
  <si>
    <t>Shot S-550</t>
  </si>
  <si>
    <t>Shot S-660</t>
  </si>
  <si>
    <t>Shot S-780</t>
  </si>
  <si>
    <t>Grit G-14S</t>
  </si>
  <si>
    <t>Grit G-16S</t>
  </si>
  <si>
    <t>Grit G-18S</t>
  </si>
  <si>
    <t>Grit G-25S</t>
  </si>
  <si>
    <t>Grit G-40S</t>
  </si>
  <si>
    <t>Grit G-50S</t>
  </si>
  <si>
    <t>Grit G-80S</t>
  </si>
  <si>
    <t>Grit G-120S</t>
  </si>
  <si>
    <t>Grit G-14M</t>
  </si>
  <si>
    <t>Grit G-16M</t>
  </si>
  <si>
    <t>Grit G-18M</t>
  </si>
  <si>
    <t>Grit G-25M</t>
  </si>
  <si>
    <t>Grit G-40M</t>
  </si>
  <si>
    <t>Grit G-50M</t>
  </si>
  <si>
    <t>Grit G-80M</t>
  </si>
  <si>
    <t>Grit G-120M</t>
  </si>
  <si>
    <t>Grit G-14L</t>
  </si>
  <si>
    <t>Grit G-16L</t>
  </si>
  <si>
    <t>Grit G-18L</t>
  </si>
  <si>
    <t>Grit G-25L</t>
  </si>
  <si>
    <t>Grit G-40L</t>
  </si>
  <si>
    <t>Grit G-50L</t>
  </si>
  <si>
    <t>Grit G-80L</t>
  </si>
  <si>
    <t>Grit G-120L</t>
  </si>
  <si>
    <t>Grit G-14H</t>
  </si>
  <si>
    <t>Grit G-16H</t>
  </si>
  <si>
    <t>Grit G-18H</t>
  </si>
  <si>
    <t>Gri  G-25H</t>
  </si>
  <si>
    <t>Grit G-40H</t>
  </si>
  <si>
    <t>Grit G-50H</t>
  </si>
  <si>
    <t>Grit G-80H</t>
  </si>
  <si>
    <t>Grit G-120H</t>
  </si>
  <si>
    <t>language</t>
  </si>
  <si>
    <t>concatenate function</t>
  </si>
  <si>
    <t>Hardness Range</t>
  </si>
  <si>
    <t>used sieves</t>
  </si>
  <si>
    <t>Microstructure</t>
  </si>
  <si>
    <t>Name</t>
  </si>
  <si>
    <t>English language</t>
  </si>
  <si>
    <t>concatenate</t>
  </si>
  <si>
    <t>Norm</t>
  </si>
  <si>
    <t>Values</t>
  </si>
  <si>
    <t>Tyler/Mesh</t>
  </si>
  <si>
    <t>Screen (mm):</t>
  </si>
  <si>
    <t>specification</t>
  </si>
  <si>
    <t>LINGUA INGLESA</t>
  </si>
  <si>
    <t>Max. 10%</t>
  </si>
  <si>
    <t>Min. 90%</t>
  </si>
  <si>
    <t>Min. 85%</t>
  </si>
  <si>
    <t>Min. 97%</t>
  </si>
  <si>
    <t>Max. 5%</t>
  </si>
  <si>
    <t>Min. 96%</t>
  </si>
  <si>
    <t xml:space="preserve">Min. 90% </t>
  </si>
  <si>
    <t>Min. 75%</t>
  </si>
  <si>
    <t>Min. 70%</t>
  </si>
  <si>
    <t xml:space="preserve">Min. 70% </t>
  </si>
  <si>
    <t xml:space="preserve">Min. 65% </t>
  </si>
  <si>
    <t xml:space="preserve">Min. 75% </t>
  </si>
  <si>
    <t xml:space="preserve">Min. 60% </t>
  </si>
  <si>
    <t>Función concatenación</t>
  </si>
  <si>
    <t>banda de dureza</t>
  </si>
  <si>
    <t>pantallas usado</t>
  </si>
  <si>
    <t>Densidad</t>
  </si>
  <si>
    <t>Nombre</t>
  </si>
  <si>
    <t>Lengua española</t>
  </si>
  <si>
    <t>apertura</t>
  </si>
  <si>
    <t>malla</t>
  </si>
  <si>
    <t>especificación</t>
  </si>
  <si>
    <t>LINGUA ESPANHOLA</t>
  </si>
  <si>
    <t xml:space="preserve">Material:       </t>
  </si>
  <si>
    <t xml:space="preserve"> </t>
  </si>
  <si>
    <t>Dureza (Baseado na norma BRS)</t>
  </si>
  <si>
    <t>Granulometria (Baseado na norma BRS)</t>
  </si>
  <si>
    <t>Densidade (Baseado na norma BRS)</t>
  </si>
  <si>
    <t>Macroestrutura</t>
  </si>
  <si>
    <t>Microestrutura</t>
  </si>
  <si>
    <t>Não magnéticos</t>
  </si>
  <si>
    <t>Chemical Composition</t>
  </si>
  <si>
    <t>Silício</t>
  </si>
  <si>
    <t>Especificação (g/cm³):</t>
  </si>
  <si>
    <t>Martensita</t>
  </si>
  <si>
    <t>Microestructura</t>
  </si>
  <si>
    <t>Máx. 15%</t>
  </si>
  <si>
    <t>% Esferas</t>
  </si>
  <si>
    <t>BANCO DE DADOS PARA LINGUA ESPANHOLA</t>
  </si>
  <si>
    <t>BANCO DE DADOS PARA LINGUA INGLESA</t>
  </si>
  <si>
    <t>Hardness (According to BRS)</t>
  </si>
  <si>
    <t>Hardness</t>
  </si>
  <si>
    <t>Granulometry</t>
  </si>
  <si>
    <t>Granulometry (According to BRS)</t>
  </si>
  <si>
    <t>Density</t>
  </si>
  <si>
    <t>Value</t>
  </si>
  <si>
    <t>% shape</t>
  </si>
  <si>
    <t>Density (According to BRS)</t>
  </si>
  <si>
    <t>Macrostructure</t>
  </si>
  <si>
    <t>Nonmagnetic Material</t>
  </si>
  <si>
    <t>The hardness of 90% of all shot particles shall be within the range of 40 to 51 HRC.</t>
  </si>
  <si>
    <t>The hardness of 90% of particles shall be within the range of 40 to 51 HRC.</t>
  </si>
  <si>
    <t>The hardness of 90% of particles shall be within the range of 47 to 56 HRC.</t>
  </si>
  <si>
    <t>The hardness of 90% of particles shall be within the range of 54 to 61 HRC.</t>
  </si>
  <si>
    <t>The hardness of 90% of particles shall be 60 HRC minimum.</t>
  </si>
  <si>
    <t>0.0%</t>
  </si>
  <si>
    <t>Max. 15%</t>
  </si>
  <si>
    <t>Martensite</t>
  </si>
  <si>
    <t>Composición química</t>
  </si>
  <si>
    <t>Dureza (Basado en BRS)</t>
  </si>
  <si>
    <t>Tamaño de grano</t>
  </si>
  <si>
    <t>Tamaño de grano (Basado en BRS)</t>
  </si>
  <si>
    <t>Macroestructura</t>
  </si>
  <si>
    <t>No magnético</t>
  </si>
  <si>
    <t>% esferas</t>
  </si>
  <si>
    <t>Esferas</t>
  </si>
  <si>
    <t>Especificação técnica em conformidade com:</t>
  </si>
  <si>
    <t>Technical specification</t>
  </si>
  <si>
    <t>Especificación técnica</t>
  </si>
  <si>
    <t>Carbon</t>
  </si>
  <si>
    <t>Manganeso</t>
  </si>
  <si>
    <t>Manganese</t>
  </si>
  <si>
    <t>Silicon</t>
  </si>
  <si>
    <t>Silicio</t>
  </si>
  <si>
    <t>Phosphorus</t>
  </si>
  <si>
    <t>Sulfur</t>
  </si>
  <si>
    <t>Azufre</t>
  </si>
  <si>
    <t>Especificación (%):</t>
  </si>
  <si>
    <t>Specification (%):</t>
  </si>
  <si>
    <t>Min 0.40</t>
  </si>
  <si>
    <t>Specification:</t>
  </si>
  <si>
    <t>Especificación:</t>
  </si>
  <si>
    <t>Mesh (#):</t>
  </si>
  <si>
    <t>sieve (mm)</t>
  </si>
  <si>
    <t>Apertura (mm):</t>
  </si>
  <si>
    <t>Hueco</t>
  </si>
  <si>
    <t>Porosidad</t>
  </si>
  <si>
    <t>Crack</t>
  </si>
  <si>
    <t>Sin forma</t>
  </si>
  <si>
    <t>Spheres</t>
  </si>
  <si>
    <t>Material não magnético máximo 1%</t>
  </si>
  <si>
    <t>Maximum non magnetic material 1%</t>
  </si>
  <si>
    <t>Máximo material no magnético 1%</t>
  </si>
  <si>
    <t>Especificación técnica de acuerdo con:</t>
  </si>
  <si>
    <t>Technical specification in accordance with:</t>
  </si>
  <si>
    <t>Specification (g/cm³):</t>
  </si>
  <si>
    <t>Especificación (g/cm³):</t>
  </si>
  <si>
    <t xml:space="preserve">Min. 7.00 </t>
  </si>
  <si>
    <t xml:space="preserve">Min. 7.30 </t>
  </si>
  <si>
    <t>Máx. 40%</t>
  </si>
  <si>
    <t>Max. 40%</t>
  </si>
  <si>
    <t>Void</t>
  </si>
  <si>
    <t>Shrinkage</t>
  </si>
  <si>
    <t>Misshapen</t>
  </si>
  <si>
    <t xml:space="preserve"> - SAE J827 - High-Carbon Cast-Steel Shot</t>
  </si>
  <si>
    <t xml:space="preserve"> - SAE J444 - Cast Shot and Grit Size Specifications for Peening and Cleaning</t>
  </si>
  <si>
    <t>Composição Química (Baseado na norma SAE J827 - High-Carbon Cast-Steel Shot)</t>
  </si>
  <si>
    <t>Composição Química (Baseado na norma SAE J1993 - High-Carbon Cast-Steel Grit)</t>
  </si>
  <si>
    <t>Dureza (Baseado na norma SAE J827 - High-Carbon Cast-Steel Shot)</t>
  </si>
  <si>
    <t>Dureza (Baseado na norma SAE J1993 - High-Carbon Cast-Steel Grit)</t>
  </si>
  <si>
    <t>Granulometria (Baseado na norma J444  - Cast Shot and Grit Size Specifications for Peening and Cleaning)</t>
  </si>
  <si>
    <t>Densidade (Baseado na norma SAE J827 - High-Carbon Cast-Steel Shot)</t>
  </si>
  <si>
    <t>Densidade (Baseado na norma SAE J1993 - High-Carbon Cast-Steel Grit)</t>
  </si>
  <si>
    <t>Macroestrutura (Baseado na norma SAE J827 - High-Carbon Cast-Steel Shot)</t>
  </si>
  <si>
    <t>Microestrutura (Baseado na norma SAE J827 - High-Carbon Cast-Steel Shot)</t>
  </si>
  <si>
    <t>Microestrutura (Baseado na norma SAE J1993 - High-Carbon Cast-Steel Grit)</t>
  </si>
  <si>
    <t>Não magnéticos (Baseado na norma SAE J827 - High-Carbon Cast-Steel Shot)</t>
  </si>
  <si>
    <t>Não magnéticos (Baseado na norma SAE J1993 - High-Carbon Cast-Steel Grit)</t>
  </si>
  <si>
    <t>Chemical Composition (According to SAE J827 - High-Carbon Cast-Steel Shot)</t>
  </si>
  <si>
    <t>Chemical Composition (According to SAE J1993 - High-Carbon Cast-Steel Grit)</t>
  </si>
  <si>
    <t>Hardness (According to SAE J827 - High-Carbon Cast-Steel Shot)</t>
  </si>
  <si>
    <t>Hardness (According to SAE J1993 - High-Carbon Cast-Steel Grit)</t>
  </si>
  <si>
    <t>Granulometry (According to J444  - Cast Shot and Grit Size Specifications for Peening and Cleaning)</t>
  </si>
  <si>
    <t>Density (According to SAE J827 - High-Carbon Cast-Steel Shot)</t>
  </si>
  <si>
    <t>Density (According to SAE J1993 - High-Carbon Cast-Steel Grit)</t>
  </si>
  <si>
    <t>Macrostructure (According to SAE J827 - High-Carbon Cast-Steel Shot)</t>
  </si>
  <si>
    <t>Macrostructure (According to SAE J1993 - High-Carbon Cast-Steel Grit)</t>
  </si>
  <si>
    <t>Microstructure (According to SAE J827 - High-Carbon Cast-Steel Shot)</t>
  </si>
  <si>
    <t>Microstructure (According to SAE J1993 - High-Carbon Cast-Steel Grit)</t>
  </si>
  <si>
    <t>Nonmagnetic Material (According to SAE J1993 - High-Carbon Cast-Steel Grit)</t>
  </si>
  <si>
    <t>Nonmagnetic Material (According to SAE J827 - High-Carbon Cast-Steel Shot)</t>
  </si>
  <si>
    <t>90% das partículas devem estar com no mínimo 60 HRC.</t>
  </si>
  <si>
    <t>90% das partículas devem estar entre 40 a 51 HRC.</t>
  </si>
  <si>
    <t>90% das partículas devem estar entre 47 a 56 HRC.</t>
  </si>
  <si>
    <t>90% das partículas devem estar entre 54 a 61 HRC.</t>
  </si>
  <si>
    <t>90% de las partículas deben estar entre 40 y 51 HRC.</t>
  </si>
  <si>
    <t>90% de las partículas deben estar entre 47 y 56 HRC.</t>
  </si>
  <si>
    <t>90% de las partículas deben estar entre 54 y 61 HRC.</t>
  </si>
  <si>
    <t xml:space="preserve"> - SAE J1993 - High-Carbon Cast-Steel Grit</t>
  </si>
  <si>
    <t>SAE</t>
  </si>
  <si>
    <t>Martensita Revenida</t>
  </si>
  <si>
    <t>Tempered Martensite</t>
  </si>
  <si>
    <t>Granalha de aço alto Carbono</t>
  </si>
  <si>
    <t>High Carbon Cash-steel</t>
  </si>
  <si>
    <r>
      <t xml:space="preserve"> - </t>
    </r>
    <r>
      <rPr>
        <i/>
        <sz val="14"/>
        <rFont val="Calibri"/>
        <family val="2"/>
        <scheme val="minor"/>
      </rPr>
      <t xml:space="preserve">ISO 11124 Part 3—High-carbon cast-sheet steel shot and grit </t>
    </r>
  </si>
  <si>
    <t>0.42</t>
  </si>
  <si>
    <t>0.60</t>
  </si>
  <si>
    <t>0.85</t>
  </si>
  <si>
    <t>1.00</t>
  </si>
  <si>
    <t>1.18</t>
  </si>
  <si>
    <t>1.40</t>
  </si>
  <si>
    <t>1.70</t>
  </si>
  <si>
    <t>2.00</t>
  </si>
  <si>
    <t>2.36</t>
  </si>
  <si>
    <t>2.80</t>
  </si>
  <si>
    <t>3.35</t>
  </si>
  <si>
    <t>4.00</t>
  </si>
  <si>
    <t>4.75</t>
  </si>
  <si>
    <t>0.71</t>
  </si>
  <si>
    <t>0.30</t>
  </si>
  <si>
    <t>0.18</t>
  </si>
  <si>
    <t>0.12</t>
  </si>
  <si>
    <t>0.35</t>
  </si>
  <si>
    <t>0.50</t>
  </si>
  <si>
    <t>0.07</t>
  </si>
  <si>
    <t>0.04</t>
  </si>
  <si>
    <t>Max. 0.050</t>
  </si>
  <si>
    <t>Composición Química (Basado en la SAE J827 - High-Carbon Cast-Steel Shot)</t>
  </si>
  <si>
    <t>Composición Química (Basado en la SAE J1993 - High-Carbon Cast-Steel Grit)</t>
  </si>
  <si>
    <t>Dureza (Basado en la SAE J827 - High-Carbon Cast-Steel Shot)</t>
  </si>
  <si>
    <t>Dureza (Basado en la SAE J1993 - High-Carbon Cast-Steel Grit)</t>
  </si>
  <si>
    <t>Tamaño de grano (Basado en la J444  - Cast Shot and Grit Size Specifications for Peening and Cleaning)</t>
  </si>
  <si>
    <t>Densidad (Basado en la SAE J827 - High-Carbon Cast-Steel Shot)</t>
  </si>
  <si>
    <t>Densidad (Basado en la SAE J1993 - High-Carbon Cast-Steel Grit)</t>
  </si>
  <si>
    <t>Macroestructura (Basado en la SAE J827 - High-Carbon Cast-Steel Shot)</t>
  </si>
  <si>
    <t>Macroestructura (Basado en la SAE J1993 - High-Carbon Cast-Steel Grit)</t>
  </si>
  <si>
    <t>Microestructura (Basado en la SAE J827 - High-Carbon Cast-Steel Shot)</t>
  </si>
  <si>
    <t>Microestructura (Basado en la SAE J1993 - High-Carbon Cast-Steel Grit)</t>
  </si>
  <si>
    <t xml:space="preserve">No magnéticos (Basado en la SAE J827 - High-Carbon Cast-Steel Shot) </t>
  </si>
  <si>
    <t>No magnéticos (Basado en la SAE J1993 - High-Carbon Cast-Steel Grit)</t>
  </si>
  <si>
    <t>90% de las partículas deben tener como mínimo 60 HRC.</t>
  </si>
  <si>
    <t>Granalla de acero con alto Carbono</t>
  </si>
  <si>
    <t>Tamiz (#):</t>
  </si>
  <si>
    <t>Grieta</t>
  </si>
  <si>
    <t>3.5</t>
  </si>
  <si>
    <t>5.60</t>
  </si>
  <si>
    <t>Dados para VBA</t>
  </si>
  <si>
    <t>Modelo</t>
  </si>
  <si>
    <t>Nº Malhas</t>
  </si>
  <si>
    <t>Shot</t>
  </si>
  <si>
    <t>Grit</t>
  </si>
  <si>
    <t xml:space="preserve">Mín. 7.00 </t>
  </si>
  <si>
    <t xml:space="preserve">Mín. 7.30 </t>
  </si>
  <si>
    <t>Composição química</t>
  </si>
  <si>
    <t>Não magnético</t>
  </si>
  <si>
    <t>Macroestrutura (Baseado na norma SAE J1993 - High-Carbon Cast-Steel Grit)</t>
  </si>
  <si>
    <t>MATERIAL PARA DADOS DA MACRO</t>
  </si>
  <si>
    <t>IDIOMA PARA DADOS DA MACRO</t>
  </si>
  <si>
    <t>BANCO DE DADOS PARA MACRO CADASTRO</t>
  </si>
  <si>
    <t>MALHA</t>
  </si>
  <si>
    <t>ABERTURA</t>
  </si>
  <si>
    <t>BANCO DE DADOS PARA A MACRO CADASTRO (PORTUGUÊS)</t>
  </si>
  <si>
    <t>BANCO DE DADOS PARA A MACRO CADASTRO (INGLÊS)</t>
  </si>
  <si>
    <t>Microstruture</t>
  </si>
  <si>
    <t>BANCO DE DADOS PARA A MACRO CADASTRO (ESPANHOL)</t>
  </si>
  <si>
    <t xml:space="preserve">Granulometry </t>
  </si>
  <si>
    <t>Composición Química</t>
  </si>
  <si>
    <t>Densidad (Basado en la BRS)</t>
  </si>
  <si>
    <t>No magnéticos (Basado en la SAE J827 - High-Carbon Cast-Steel Shot)</t>
  </si>
  <si>
    <t>No magnéticos</t>
  </si>
  <si>
    <t>Especificação microestrutura</t>
  </si>
  <si>
    <t>microstructure specification</t>
  </si>
  <si>
    <t>especificación de microestructura</t>
  </si>
  <si>
    <t>Especificação granulometria</t>
  </si>
  <si>
    <t xml:space="preserve">Mín. </t>
  </si>
  <si>
    <t xml:space="preserve">Máx. </t>
  </si>
  <si>
    <t>Granulometry  specification</t>
  </si>
  <si>
    <t xml:space="preserve">Max. </t>
  </si>
  <si>
    <t xml:space="preserve">Min. </t>
  </si>
  <si>
    <t>especificación de Tamaño de grano</t>
  </si>
  <si>
    <t xml:space="preserve">Mín, </t>
  </si>
  <si>
    <t/>
  </si>
  <si>
    <t>1.6 - O arquivo será salvo com a junção do material com o idioma.</t>
  </si>
  <si>
    <t>Botão para abir o formulário</t>
  </si>
  <si>
    <t xml:space="preserve">1.2 - Após, digite a lingua desejada; </t>
  </si>
  <si>
    <t>1.3 - Em seguida, escolhe o material;</t>
  </si>
  <si>
    <t>1.4 - Clique em "gerar ficha técnica" e será gerado o arquivo em formato PDF;</t>
  </si>
  <si>
    <t>1.0 - Tutorial para emissão de ficha técnica</t>
  </si>
  <si>
    <t>1.1 - Clique na botão logo abaixo da instrução 1.7 e aparecerá um formulário;</t>
  </si>
  <si>
    <t>1.5 - Após, clicar em "OK" na mensagem "Ficha tecnica emitida com sucesso";</t>
  </si>
  <si>
    <t>Clique no botão ao lado para abrir o formulário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</si>
</sst>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16]d\ \ mmmm\,\ yyyy;@"/>
    <numFmt numFmtId="165" formatCode="0.000"/>
    <numFmt numFmtId="166" formatCode="0.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Arial"/>
      <family val="2"/>
    </font>
    <font>
      <b/>
      <sz val="22"/>
      <color theme="1"/>
      <name val="Arial"/>
      <family val="2"/>
    </font>
    <font>
      <sz val="15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Calibri"/>
      <family val="2"/>
      <scheme val="minor"/>
    </font>
    <font>
      <sz val="15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2"/>
      <color rgb="FF222222"/>
      <name val="Arial"/>
      <family val="2"/>
    </font>
    <font>
      <b/>
      <sz val="20"/>
      <color theme="1"/>
      <name val="Calibri"/>
      <family val="2"/>
      <scheme val="minor"/>
    </font>
    <font>
      <sz val="14"/>
      <name val="Calibri"/>
      <family val="2"/>
      <scheme val="minor"/>
    </font>
    <font>
      <i/>
      <sz val="14"/>
      <name val="Calibri"/>
      <family val="2"/>
      <scheme val="minor"/>
    </font>
    <font>
      <sz val="16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3"/>
      <name val="Calibri"/>
      <family val="2"/>
      <scheme val="minor"/>
    </font>
    <font>
      <sz val="8"/>
      <color theme="1"/>
      <name val="Arial"/>
      <family val="2"/>
    </font>
    <font>
      <sz val="20"/>
      <color theme="5"/>
      <name val="Calibri"/>
      <family val="2"/>
      <scheme val="minor"/>
    </font>
    <font>
      <sz val="20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3332B"/>
        <bgColor indexed="64"/>
      </patternFill>
    </fill>
    <fill>
      <patternFill patternType="solid">
        <fgColor rgb="FFC2BDC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hair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304">
    <xf numFmtId="0" fontId="0" fillId="0" borderId="0" xfId="0"/>
    <xf numFmtId="0" fontId="2" fillId="2" borderId="0" xfId="1" applyFont="1" applyFill="1" applyAlignment="1">
      <alignment horizontal="left" vertical="center"/>
    </xf>
    <xf numFmtId="0" fontId="3" fillId="3" borderId="0" xfId="1" applyFont="1" applyFill="1" applyAlignment="1">
      <alignment wrapText="1"/>
    </xf>
    <xf numFmtId="0" fontId="4" fillId="2" borderId="0" xfId="1" applyFont="1" applyFill="1" applyAlignment="1">
      <alignment horizontal="left" vertical="center"/>
    </xf>
    <xf numFmtId="0" fontId="5" fillId="0" borderId="0" xfId="0" applyFont="1"/>
    <xf numFmtId="0" fontId="2" fillId="0" borderId="0" xfId="1" applyFont="1" applyAlignment="1">
      <alignment horizontal="left" vertical="center"/>
    </xf>
    <xf numFmtId="0" fontId="3" fillId="0" borderId="0" xfId="1" applyFont="1" applyAlignment="1">
      <alignment wrapText="1"/>
    </xf>
    <xf numFmtId="0" fontId="0" fillId="2" borderId="0" xfId="0" applyFill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center"/>
    </xf>
    <xf numFmtId="14" fontId="8" fillId="0" borderId="0" xfId="0" applyNumberFormat="1" applyFont="1"/>
    <xf numFmtId="14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12" fillId="0" borderId="0" xfId="0" applyFont="1" applyAlignment="1">
      <alignment vertical="top"/>
    </xf>
    <xf numFmtId="0" fontId="9" fillId="0" borderId="0" xfId="0" applyFont="1" applyAlignment="1">
      <alignment horizontal="centerContinuous" vertic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/>
    </xf>
    <xf numFmtId="0" fontId="9" fillId="0" borderId="0" xfId="0" applyFont="1" applyAlignment="1">
      <alignment horizontal="centerContinuous"/>
    </xf>
    <xf numFmtId="0" fontId="9" fillId="0" borderId="0" xfId="0" applyFont="1" applyAlignment="1">
      <alignment horizontal="center" vertical="center"/>
    </xf>
    <xf numFmtId="0" fontId="15" fillId="0" borderId="0" xfId="0" applyFont="1"/>
    <xf numFmtId="164" fontId="15" fillId="0" borderId="0" xfId="0" applyNumberFormat="1" applyFont="1"/>
    <xf numFmtId="0" fontId="13" fillId="0" borderId="0" xfId="0" applyFont="1"/>
    <xf numFmtId="0" fontId="9" fillId="0" borderId="16" xfId="0" applyFont="1" applyBorder="1" applyAlignment="1">
      <alignment horizontal="left" vertical="top"/>
    </xf>
    <xf numFmtId="0" fontId="9" fillId="0" borderId="17" xfId="0" applyFont="1" applyBorder="1" applyAlignment="1">
      <alignment horizontal="left" vertical="top"/>
    </xf>
    <xf numFmtId="0" fontId="9" fillId="0" borderId="18" xfId="0" applyFont="1" applyBorder="1" applyAlignment="1">
      <alignment horizontal="left" vertical="top"/>
    </xf>
    <xf numFmtId="0" fontId="9" fillId="0" borderId="19" xfId="0" applyFont="1" applyBorder="1" applyAlignment="1">
      <alignment horizontal="left" vertical="top"/>
    </xf>
    <xf numFmtId="0" fontId="9" fillId="0" borderId="2" xfId="0" applyFont="1" applyBorder="1" applyAlignment="1">
      <alignment horizontal="left" vertical="top"/>
    </xf>
    <xf numFmtId="0" fontId="9" fillId="0" borderId="20" xfId="0" applyFont="1" applyBorder="1" applyAlignment="1">
      <alignment horizontal="left" vertical="top"/>
    </xf>
    <xf numFmtId="0" fontId="9" fillId="0" borderId="21" xfId="0" applyFont="1" applyBorder="1" applyAlignment="1">
      <alignment horizontal="left" vertical="top"/>
    </xf>
    <xf numFmtId="0" fontId="9" fillId="0" borderId="22" xfId="0" applyFont="1" applyBorder="1" applyAlignment="1">
      <alignment horizontal="left" vertical="top"/>
    </xf>
    <xf numFmtId="0" fontId="9" fillId="0" borderId="23" xfId="0" applyFont="1" applyBorder="1" applyAlignment="1">
      <alignment horizontal="left" vertical="top"/>
    </xf>
    <xf numFmtId="0" fontId="9" fillId="0" borderId="19" xfId="0" applyFont="1" applyBorder="1"/>
    <xf numFmtId="0" fontId="9" fillId="0" borderId="2" xfId="0" applyFont="1" applyBorder="1"/>
    <xf numFmtId="1" fontId="9" fillId="0" borderId="2" xfId="0" applyNumberFormat="1" applyFont="1" applyBorder="1" applyAlignment="1">
      <alignment horizontal="left" vertical="center"/>
    </xf>
    <xf numFmtId="165" fontId="9" fillId="0" borderId="2" xfId="0" applyNumberFormat="1" applyFont="1" applyBorder="1" applyAlignment="1">
      <alignment horizontal="left"/>
    </xf>
    <xf numFmtId="166" fontId="9" fillId="0" borderId="2" xfId="0" applyNumberFormat="1" applyFont="1" applyBorder="1" applyAlignment="1">
      <alignment horizontal="left"/>
    </xf>
    <xf numFmtId="165" fontId="9" fillId="0" borderId="2" xfId="0" applyNumberFormat="1" applyFont="1" applyBorder="1" applyAlignment="1">
      <alignment horizontal="left" vertical="top"/>
    </xf>
    <xf numFmtId="0" fontId="9" fillId="0" borderId="2" xfId="0" applyFont="1" applyBorder="1" applyAlignment="1">
      <alignment horizontal="left"/>
    </xf>
    <xf numFmtId="1" fontId="9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9" fillId="0" borderId="2" xfId="0" applyNumberFormat="1" applyFont="1" applyBorder="1" applyAlignment="1">
      <alignment horizontal="left" vertical="center"/>
    </xf>
    <xf numFmtId="165" fontId="9" fillId="0" borderId="2" xfId="0" applyNumberFormat="1" applyFont="1" applyBorder="1" applyAlignment="1">
      <alignment horizontal="center" vertical="center"/>
    </xf>
    <xf numFmtId="0" fontId="12" fillId="0" borderId="2" xfId="0" applyFont="1" applyBorder="1"/>
    <xf numFmtId="0" fontId="9" fillId="0" borderId="22" xfId="0" applyFont="1" applyBorder="1"/>
    <xf numFmtId="0" fontId="9" fillId="0" borderId="2" xfId="0" applyFont="1" applyBorder="1" applyAlignment="1">
      <alignment horizontal="left" vertical="center"/>
    </xf>
    <xf numFmtId="0" fontId="8" fillId="5" borderId="32" xfId="0" applyFont="1" applyFill="1" applyBorder="1" applyAlignment="1">
      <alignment horizontal="center" vertical="center"/>
    </xf>
    <xf numFmtId="0" fontId="8" fillId="6" borderId="33" xfId="0" applyFont="1" applyFill="1" applyBorder="1" applyAlignment="1">
      <alignment horizontal="center" vertical="center"/>
    </xf>
    <xf numFmtId="0" fontId="9" fillId="0" borderId="26" xfId="0" applyFont="1" applyBorder="1"/>
    <xf numFmtId="0" fontId="8" fillId="4" borderId="28" xfId="0" applyFont="1" applyFill="1" applyBorder="1" applyAlignment="1">
      <alignment horizontal="centerContinuous" vertical="center"/>
    </xf>
    <xf numFmtId="0" fontId="8" fillId="4" borderId="29" xfId="0" applyFont="1" applyFill="1" applyBorder="1" applyAlignment="1">
      <alignment horizontal="centerContinuous" vertical="center"/>
    </xf>
    <xf numFmtId="0" fontId="8" fillId="4" borderId="37" xfId="0" applyFont="1" applyFill="1" applyBorder="1" applyAlignment="1">
      <alignment horizontal="centerContinuous" vertical="center"/>
    </xf>
    <xf numFmtId="0" fontId="8" fillId="4" borderId="30" xfId="0" applyFont="1" applyFill="1" applyBorder="1" applyAlignment="1">
      <alignment horizontal="centerContinuous" vertical="center"/>
    </xf>
    <xf numFmtId="0" fontId="8" fillId="4" borderId="38" xfId="0" applyFont="1" applyFill="1" applyBorder="1" applyAlignment="1">
      <alignment horizontal="centerContinuous" vertical="center"/>
    </xf>
    <xf numFmtId="0" fontId="8" fillId="4" borderId="34" xfId="0" applyFont="1" applyFill="1" applyBorder="1" applyAlignment="1">
      <alignment horizontal="centerContinuous" vertical="center"/>
    </xf>
    <xf numFmtId="0" fontId="8" fillId="8" borderId="12" xfId="0" applyFont="1" applyFill="1" applyBorder="1" applyAlignment="1">
      <alignment vertical="center"/>
    </xf>
    <xf numFmtId="0" fontId="8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vertical="center"/>
    </xf>
    <xf numFmtId="0" fontId="8" fillId="8" borderId="7" xfId="0" applyFont="1" applyFill="1" applyBorder="1" applyAlignment="1">
      <alignment vertical="center" wrapText="1"/>
    </xf>
    <xf numFmtId="0" fontId="8" fillId="8" borderId="35" xfId="0" applyFont="1" applyFill="1" applyBorder="1" applyAlignment="1">
      <alignment vertical="center" wrapText="1"/>
    </xf>
    <xf numFmtId="0" fontId="8" fillId="8" borderId="0" xfId="0" applyFont="1" applyFill="1" applyAlignment="1">
      <alignment vertical="center" wrapText="1"/>
    </xf>
    <xf numFmtId="0" fontId="8" fillId="8" borderId="13" xfId="0" applyFont="1" applyFill="1" applyBorder="1" applyAlignment="1">
      <alignment vertical="center" wrapText="1"/>
    </xf>
    <xf numFmtId="0" fontId="8" fillId="8" borderId="12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Continuous" vertical="center"/>
    </xf>
    <xf numFmtId="0" fontId="8" fillId="8" borderId="14" xfId="0" applyFont="1" applyFill="1" applyBorder="1" applyAlignment="1">
      <alignment horizontal="centerContinuous" vertical="center"/>
    </xf>
    <xf numFmtId="0" fontId="8" fillId="8" borderId="15" xfId="0" applyFont="1" applyFill="1" applyBorder="1" applyAlignment="1">
      <alignment horizontal="centerContinuous" vertical="center"/>
    </xf>
    <xf numFmtId="0" fontId="8" fillId="8" borderId="13" xfId="0" applyFont="1" applyFill="1" applyBorder="1" applyAlignment="1">
      <alignment horizontal="center" vertical="center" wrapText="1"/>
    </xf>
    <xf numFmtId="0" fontId="8" fillId="8" borderId="0" xfId="0" applyFont="1" applyFill="1"/>
    <xf numFmtId="0" fontId="8" fillId="8" borderId="0" xfId="0" applyFont="1" applyFill="1" applyAlignment="1">
      <alignment horizontal="center"/>
    </xf>
    <xf numFmtId="0" fontId="8" fillId="8" borderId="1" xfId="0" applyFont="1" applyFill="1" applyBorder="1" applyAlignment="1">
      <alignment vertical="center" wrapText="1"/>
    </xf>
    <xf numFmtId="0" fontId="10" fillId="8" borderId="19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26" xfId="0" applyFont="1" applyFill="1" applyBorder="1" applyAlignment="1">
      <alignment horizontal="center" vertical="center"/>
    </xf>
    <xf numFmtId="0" fontId="8" fillId="4" borderId="31" xfId="0" applyFont="1" applyFill="1" applyBorder="1" applyAlignment="1">
      <alignment horizontal="center" vertical="center"/>
    </xf>
    <xf numFmtId="0" fontId="8" fillId="10" borderId="28" xfId="0" applyFont="1" applyFill="1" applyBorder="1" applyAlignment="1">
      <alignment horizontal="centerContinuous" vertical="center"/>
    </xf>
    <xf numFmtId="0" fontId="8" fillId="10" borderId="29" xfId="0" applyFont="1" applyFill="1" applyBorder="1" applyAlignment="1">
      <alignment horizontal="centerContinuous" vertical="center"/>
    </xf>
    <xf numFmtId="0" fontId="8" fillId="10" borderId="37" xfId="0" applyFont="1" applyFill="1" applyBorder="1" applyAlignment="1">
      <alignment horizontal="centerContinuous" vertical="center"/>
    </xf>
    <xf numFmtId="0" fontId="8" fillId="10" borderId="30" xfId="0" applyFont="1" applyFill="1" applyBorder="1" applyAlignment="1">
      <alignment horizontal="centerContinuous" vertical="center"/>
    </xf>
    <xf numFmtId="0" fontId="8" fillId="10" borderId="25" xfId="0" applyFont="1" applyFill="1" applyBorder="1" applyAlignment="1">
      <alignment horizontal="centerContinuous" vertical="center"/>
    </xf>
    <xf numFmtId="0" fontId="8" fillId="10" borderId="27" xfId="0" applyFont="1" applyFill="1" applyBorder="1" applyAlignment="1">
      <alignment horizontal="centerContinuous" vertical="center"/>
    </xf>
    <xf numFmtId="0" fontId="8" fillId="11" borderId="12" xfId="0" applyFont="1" applyFill="1" applyBorder="1" applyAlignment="1">
      <alignment vertical="center" wrapText="1"/>
    </xf>
    <xf numFmtId="0" fontId="8" fillId="11" borderId="0" xfId="0" applyFont="1" applyFill="1" applyAlignment="1">
      <alignment horizontal="center" vertical="center" wrapText="1"/>
    </xf>
    <xf numFmtId="0" fontId="8" fillId="11" borderId="0" xfId="0" applyFont="1" applyFill="1" applyAlignment="1">
      <alignment vertical="center" wrapText="1"/>
    </xf>
    <xf numFmtId="0" fontId="8" fillId="11" borderId="0" xfId="0" applyFont="1" applyFill="1" applyAlignment="1">
      <alignment vertical="center"/>
    </xf>
    <xf numFmtId="0" fontId="8" fillId="11" borderId="35" xfId="0" applyFont="1" applyFill="1" applyBorder="1" applyAlignment="1">
      <alignment vertical="center" wrapText="1"/>
    </xf>
    <xf numFmtId="0" fontId="8" fillId="11" borderId="13" xfId="0" applyFont="1" applyFill="1" applyBorder="1" applyAlignment="1">
      <alignment vertical="center" wrapText="1"/>
    </xf>
    <xf numFmtId="0" fontId="8" fillId="11" borderId="12" xfId="0" applyFont="1" applyFill="1" applyBorder="1" applyAlignment="1">
      <alignment horizontal="center" vertical="center" wrapText="1"/>
    </xf>
    <xf numFmtId="0" fontId="8" fillId="11" borderId="0" xfId="0" applyFont="1" applyFill="1" applyAlignment="1">
      <alignment horizontal="centerContinuous" vertical="center"/>
    </xf>
    <xf numFmtId="0" fontId="8" fillId="11" borderId="13" xfId="0" applyFont="1" applyFill="1" applyBorder="1" applyAlignment="1">
      <alignment horizontal="center" vertical="center" wrapText="1"/>
    </xf>
    <xf numFmtId="0" fontId="8" fillId="11" borderId="0" xfId="0" applyFont="1" applyFill="1"/>
    <xf numFmtId="0" fontId="8" fillId="11" borderId="0" xfId="0" applyFont="1" applyFill="1" applyAlignment="1">
      <alignment horizontal="center"/>
    </xf>
    <xf numFmtId="0" fontId="8" fillId="11" borderId="36" xfId="0" applyFont="1" applyFill="1" applyBorder="1" applyAlignment="1">
      <alignment vertical="center" wrapText="1"/>
    </xf>
    <xf numFmtId="0" fontId="8" fillId="11" borderId="19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/>
    </xf>
    <xf numFmtId="0" fontId="8" fillId="11" borderId="3" xfId="0" applyFont="1" applyFill="1" applyBorder="1" applyAlignment="1">
      <alignment horizontal="center" vertical="center"/>
    </xf>
    <xf numFmtId="0" fontId="8" fillId="12" borderId="28" xfId="0" applyFont="1" applyFill="1" applyBorder="1" applyAlignment="1">
      <alignment horizontal="centerContinuous" vertical="center"/>
    </xf>
    <xf numFmtId="0" fontId="8" fillId="12" borderId="29" xfId="0" applyFont="1" applyFill="1" applyBorder="1" applyAlignment="1">
      <alignment horizontal="centerContinuous" vertical="center"/>
    </xf>
    <xf numFmtId="0" fontId="8" fillId="12" borderId="37" xfId="0" applyFont="1" applyFill="1" applyBorder="1" applyAlignment="1">
      <alignment horizontal="centerContinuous" vertical="center"/>
    </xf>
    <xf numFmtId="0" fontId="8" fillId="12" borderId="24" xfId="0" applyFont="1" applyFill="1" applyBorder="1" applyAlignment="1">
      <alignment horizontal="centerContinuous" vertical="center"/>
    </xf>
    <xf numFmtId="0" fontId="8" fillId="12" borderId="18" xfId="0" applyFont="1" applyFill="1" applyBorder="1" applyAlignment="1">
      <alignment horizontal="centerContinuous" vertical="center"/>
    </xf>
    <xf numFmtId="0" fontId="8" fillId="9" borderId="12" xfId="0" applyFont="1" applyFill="1" applyBorder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8" fillId="9" borderId="0" xfId="0" applyFont="1" applyFill="1" applyAlignment="1">
      <alignment vertical="center"/>
    </xf>
    <xf numFmtId="0" fontId="8" fillId="9" borderId="0" xfId="0" applyFont="1" applyFill="1" applyAlignment="1">
      <alignment vertical="center" wrapText="1"/>
    </xf>
    <xf numFmtId="0" fontId="8" fillId="9" borderId="35" xfId="0" applyFont="1" applyFill="1" applyBorder="1" applyAlignment="1">
      <alignment vertical="center" wrapText="1"/>
    </xf>
    <xf numFmtId="0" fontId="8" fillId="9" borderId="13" xfId="0" applyFont="1" applyFill="1" applyBorder="1" applyAlignment="1">
      <alignment vertical="center" wrapText="1"/>
    </xf>
    <xf numFmtId="0" fontId="8" fillId="9" borderId="12" xfId="0" applyFont="1" applyFill="1" applyBorder="1" applyAlignment="1">
      <alignment horizontal="center" vertical="center"/>
    </xf>
    <xf numFmtId="0" fontId="8" fillId="9" borderId="0" xfId="0" applyFont="1" applyFill="1" applyAlignment="1">
      <alignment horizontal="centerContinuous" vertical="center"/>
    </xf>
    <xf numFmtId="0" fontId="8" fillId="9" borderId="0" xfId="0" applyFont="1" applyFill="1" applyAlignment="1">
      <alignment horizontal="center" vertical="center" wrapText="1"/>
    </xf>
    <xf numFmtId="0" fontId="8" fillId="9" borderId="13" xfId="0" applyFont="1" applyFill="1" applyBorder="1" applyAlignment="1">
      <alignment horizontal="center" vertical="center" wrapText="1"/>
    </xf>
    <xf numFmtId="0" fontId="8" fillId="9" borderId="0" xfId="0" applyFont="1" applyFill="1"/>
    <xf numFmtId="0" fontId="8" fillId="9" borderId="0" xfId="0" applyFont="1" applyFill="1" applyAlignment="1">
      <alignment horizontal="center"/>
    </xf>
    <xf numFmtId="0" fontId="8" fillId="9" borderId="36" xfId="0" applyFont="1" applyFill="1" applyBorder="1" applyAlignment="1">
      <alignment vertical="center" wrapText="1"/>
    </xf>
    <xf numFmtId="0" fontId="8" fillId="9" borderId="19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49" fontId="9" fillId="0" borderId="2" xfId="0" applyNumberFormat="1" applyFont="1" applyBorder="1" applyAlignment="1">
      <alignment horizontal="left" vertical="center"/>
    </xf>
    <xf numFmtId="0" fontId="9" fillId="0" borderId="39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/>
    </xf>
    <xf numFmtId="0" fontId="9" fillId="0" borderId="40" xfId="0" applyFont="1" applyBorder="1" applyAlignment="1">
      <alignment horizontal="left" vertical="top"/>
    </xf>
    <xf numFmtId="0" fontId="9" fillId="0" borderId="39" xfId="0" applyFont="1" applyBorder="1"/>
    <xf numFmtId="0" fontId="9" fillId="0" borderId="11" xfId="0" applyFont="1" applyBorder="1"/>
    <xf numFmtId="0" fontId="9" fillId="0" borderId="11" xfId="0" applyFont="1" applyBorder="1" applyAlignment="1">
      <alignment horizontal="left"/>
    </xf>
    <xf numFmtId="165" fontId="9" fillId="0" borderId="11" xfId="0" applyNumberFormat="1" applyFont="1" applyBorder="1" applyAlignment="1">
      <alignment horizontal="left"/>
    </xf>
    <xf numFmtId="0" fontId="9" fillId="0" borderId="35" xfId="0" applyFont="1" applyBorder="1"/>
    <xf numFmtId="9" fontId="19" fillId="0" borderId="0" xfId="2" applyFont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19" fillId="0" borderId="1" xfId="0" applyFont="1" applyBorder="1"/>
    <xf numFmtId="0" fontId="5" fillId="0" borderId="1" xfId="0" applyFont="1" applyBorder="1" applyAlignment="1">
      <alignment horizontal="center"/>
    </xf>
    <xf numFmtId="0" fontId="8" fillId="10" borderId="0" xfId="0" applyFont="1" applyFill="1" applyAlignment="1">
      <alignment horizontal="centerContinuous" vertical="center"/>
    </xf>
    <xf numFmtId="0" fontId="8" fillId="8" borderId="43" xfId="0" applyFont="1" applyFill="1" applyBorder="1" applyAlignment="1">
      <alignment vertical="center" wrapText="1"/>
    </xf>
    <xf numFmtId="0" fontId="9" fillId="0" borderId="43" xfId="0" applyFont="1" applyBorder="1"/>
    <xf numFmtId="0" fontId="0" fillId="0" borderId="43" xfId="0" applyBorder="1"/>
    <xf numFmtId="0" fontId="8" fillId="11" borderId="43" xfId="0" applyFont="1" applyFill="1" applyBorder="1" applyAlignment="1">
      <alignment vertical="center" wrapText="1"/>
    </xf>
    <xf numFmtId="0" fontId="8" fillId="9" borderId="43" xfId="0" applyFont="1" applyFill="1" applyBorder="1" applyAlignment="1">
      <alignment horizontal="center" vertical="center"/>
    </xf>
    <xf numFmtId="0" fontId="8" fillId="8" borderId="44" xfId="0" applyFont="1" applyFill="1" applyBorder="1" applyAlignment="1">
      <alignment horizontal="center" vertical="center"/>
    </xf>
    <xf numFmtId="0" fontId="9" fillId="0" borderId="44" xfId="0" applyFont="1" applyBorder="1"/>
    <xf numFmtId="0" fontId="8" fillId="11" borderId="43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Continuous" vertical="center"/>
    </xf>
    <xf numFmtId="0" fontId="8" fillId="9" borderId="7" xfId="0" applyFont="1" applyFill="1" applyBorder="1" applyAlignment="1">
      <alignment vertical="center" wrapText="1"/>
    </xf>
    <xf numFmtId="0" fontId="8" fillId="9" borderId="1" xfId="0" applyFont="1" applyFill="1" applyBorder="1" applyAlignment="1">
      <alignment vertical="center" wrapText="1"/>
    </xf>
    <xf numFmtId="0" fontId="8" fillId="9" borderId="45" xfId="0" applyFont="1" applyFill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5" fillId="0" borderId="43" xfId="0" applyFont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3" xfId="0" applyBorder="1" applyAlignment="1">
      <alignment horizontal="center"/>
    </xf>
    <xf numFmtId="0" fontId="0" fillId="0" borderId="48" xfId="0" applyBorder="1"/>
    <xf numFmtId="0" fontId="0" fillId="0" borderId="43" xfId="0" applyBorder="1" applyAlignment="1">
      <alignment horizontal="right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43" xfId="0" applyBorder="1" applyAlignment="1">
      <alignment horizontal="left"/>
    </xf>
    <xf numFmtId="0" fontId="0" fillId="0" borderId="0" xfId="0" applyAlignment="1">
      <alignment vertical="center" wrapText="1"/>
    </xf>
    <xf numFmtId="0" fontId="0" fillId="0" borderId="49" xfId="0" applyBorder="1"/>
    <xf numFmtId="0" fontId="0" fillId="0" borderId="42" xfId="0" applyBorder="1"/>
    <xf numFmtId="0" fontId="0" fillId="0" borderId="9" xfId="0" applyBorder="1"/>
    <xf numFmtId="0" fontId="0" fillId="0" borderId="1" xfId="0" applyBorder="1"/>
    <xf numFmtId="0" fontId="0" fillId="0" borderId="10" xfId="0" applyBorder="1"/>
    <xf numFmtId="0" fontId="0" fillId="0" borderId="52" xfId="0" applyBorder="1"/>
    <xf numFmtId="0" fontId="0" fillId="0" borderId="51" xfId="0" applyBorder="1"/>
    <xf numFmtId="0" fontId="0" fillId="0" borderId="0" xfId="0" applyAlignment="1">
      <alignment wrapText="1"/>
    </xf>
    <xf numFmtId="0" fontId="0" fillId="0" borderId="55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2" fillId="2" borderId="50" xfId="1" applyFont="1" applyFill="1" applyBorder="1" applyAlignment="1">
      <alignment horizontal="left" vertical="center"/>
    </xf>
    <xf numFmtId="0" fontId="2" fillId="0" borderId="62" xfId="1" applyFont="1" applyBorder="1" applyAlignment="1">
      <alignment horizontal="left" vertical="center"/>
    </xf>
    <xf numFmtId="0" fontId="0" fillId="0" borderId="50" xfId="0" applyBorder="1"/>
    <xf numFmtId="0" fontId="2" fillId="0" borderId="51" xfId="1" applyFont="1" applyBorder="1" applyAlignment="1">
      <alignment horizontal="left" vertical="center"/>
    </xf>
    <xf numFmtId="0" fontId="3" fillId="0" borderId="51" xfId="1" applyFont="1" applyBorder="1" applyAlignment="1">
      <alignment wrapText="1"/>
    </xf>
    <xf numFmtId="0" fontId="0" fillId="2" borderId="1" xfId="0" applyFill="1" applyBorder="1"/>
    <xf numFmtId="0" fontId="0" fillId="2" borderId="56" xfId="0" applyFill="1" applyBorder="1"/>
    <xf numFmtId="0" fontId="0" fillId="2" borderId="7" xfId="0" applyFill="1" applyBorder="1"/>
    <xf numFmtId="0" fontId="0" fillId="2" borderId="54" xfId="0" applyFill="1" applyBorder="1"/>
    <xf numFmtId="0" fontId="0" fillId="2" borderId="52" xfId="0" applyFill="1" applyBorder="1"/>
    <xf numFmtId="9" fontId="0" fillId="0" borderId="0" xfId="0" applyNumberFormat="1"/>
    <xf numFmtId="0" fontId="0" fillId="0" borderId="0" xfId="0" applyAlignment="1">
      <alignment horizontal="left"/>
    </xf>
    <xf numFmtId="49" fontId="19" fillId="0" borderId="44" xfId="0" applyNumberFormat="1" applyFont="1" applyBorder="1" applyAlignment="1">
      <alignment horizontal="center" vertical="center"/>
    </xf>
    <xf numFmtId="49" fontId="19" fillId="0" borderId="63" xfId="0" applyNumberFormat="1" applyFont="1" applyBorder="1" applyAlignment="1">
      <alignment horizontal="center" vertical="center"/>
    </xf>
    <xf numFmtId="9" fontId="19" fillId="0" borderId="44" xfId="2" applyFont="1" applyBorder="1" applyAlignment="1">
      <alignment horizontal="center" vertical="center"/>
    </xf>
    <xf numFmtId="9" fontId="19" fillId="0" borderId="63" xfId="2" applyFont="1" applyBorder="1" applyAlignment="1">
      <alignment horizontal="center" vertical="center"/>
    </xf>
    <xf numFmtId="1" fontId="15" fillId="0" borderId="44" xfId="0" applyNumberFormat="1" applyFont="1" applyBorder="1" applyAlignment="1">
      <alignment horizontal="center" vertical="center"/>
    </xf>
    <xf numFmtId="1" fontId="15" fillId="0" borderId="63" xfId="0" applyNumberFormat="1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5" fillId="0" borderId="63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13" borderId="4" xfId="0" applyFont="1" applyFill="1" applyBorder="1" applyAlignment="1">
      <alignment horizontal="center"/>
    </xf>
    <xf numFmtId="0" fontId="15" fillId="13" borderId="5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15" fillId="0" borderId="3" xfId="0" applyFont="1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15" fillId="0" borderId="5" xfId="0" applyFont="1" applyBorder="1" applyAlignment="1">
      <alignment horizontal="left" vertical="center"/>
    </xf>
    <xf numFmtId="0" fontId="15" fillId="13" borderId="3" xfId="0" applyFont="1" applyFill="1" applyBorder="1" applyAlignment="1">
      <alignment horizontal="left"/>
    </xf>
    <xf numFmtId="0" fontId="15" fillId="13" borderId="4" xfId="0" applyFont="1" applyFill="1" applyBorder="1" applyAlignment="1">
      <alignment horizontal="left"/>
    </xf>
    <xf numFmtId="0" fontId="15" fillId="13" borderId="5" xfId="0" applyFont="1" applyFill="1" applyBorder="1" applyAlignment="1">
      <alignment horizontal="left"/>
    </xf>
    <xf numFmtId="0" fontId="15" fillId="0" borderId="9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5" fillId="0" borderId="9" xfId="0" applyFont="1" applyBorder="1" applyAlignment="1">
      <alignment horizontal="left" vertical="center"/>
    </xf>
    <xf numFmtId="0" fontId="15" fillId="0" borderId="6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2" xfId="0" applyFont="1" applyBorder="1" applyAlignment="1">
      <alignment horizontal="left"/>
    </xf>
    <xf numFmtId="0" fontId="15" fillId="13" borderId="3" xfId="0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center" vertical="center"/>
    </xf>
    <xf numFmtId="0" fontId="15" fillId="13" borderId="5" xfId="0" applyFont="1" applyFill="1" applyBorder="1" applyAlignment="1">
      <alignment horizontal="center" vertical="center"/>
    </xf>
    <xf numFmtId="0" fontId="17" fillId="0" borderId="0" xfId="0" applyFont="1" applyAlignment="1">
      <alignment horizontal="left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64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14" borderId="43" xfId="0" applyFill="1" applyBorder="1" applyAlignment="1">
      <alignment horizontal="center" vertical="center" wrapText="1"/>
    </xf>
    <xf numFmtId="0" fontId="8" fillId="11" borderId="11" xfId="0" applyFont="1" applyFill="1" applyBorder="1" applyAlignment="1">
      <alignment horizontal="center" vertical="center" wrapText="1"/>
    </xf>
    <xf numFmtId="0" fontId="8" fillId="11" borderId="41" xfId="0" applyFont="1" applyFill="1" applyBorder="1" applyAlignment="1">
      <alignment horizontal="center" vertical="center" wrapText="1"/>
    </xf>
    <xf numFmtId="0" fontId="8" fillId="9" borderId="43" xfId="0" applyFont="1" applyFill="1" applyBorder="1" applyAlignment="1">
      <alignment horizontal="center" vertical="center" wrapText="1"/>
    </xf>
    <xf numFmtId="0" fontId="5" fillId="15" borderId="49" xfId="0" applyFont="1" applyFill="1" applyBorder="1" applyAlignment="1">
      <alignment horizontal="center" vertical="center"/>
    </xf>
    <xf numFmtId="0" fontId="5" fillId="15" borderId="0" xfId="0" applyFont="1" applyFill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6" borderId="49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9" xfId="0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42" xfId="0" applyFont="1" applyFill="1" applyBorder="1" applyAlignment="1">
      <alignment horizontal="center" vertical="center"/>
    </xf>
    <xf numFmtId="0" fontId="8" fillId="8" borderId="46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21" fillId="2" borderId="50" xfId="1" applyFont="1" applyFill="1" applyBorder="1" applyAlignment="1">
      <alignment horizontal="center" vertical="center"/>
    </xf>
    <xf numFmtId="0" fontId="21" fillId="2" borderId="0" xfId="1" applyFont="1" applyFill="1" applyAlignment="1">
      <alignment horizontal="center" vertical="center"/>
    </xf>
    <xf numFmtId="0" fontId="7" fillId="0" borderId="6" xfId="0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7" fillId="0" borderId="10" xfId="0" applyFont="1" applyBorder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5" fillId="0" borderId="5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53" xfId="0" applyFont="1" applyBorder="1" applyAlignment="1">
      <alignment horizontal="left" vertical="center" wrapText="1"/>
    </xf>
    <xf numFmtId="0" fontId="7" fillId="0" borderId="55" xfId="0" applyFont="1" applyBorder="1" applyAlignment="1">
      <alignment horizontal="left" vertical="center" wrapText="1"/>
    </xf>
    <xf numFmtId="0" fontId="7" fillId="0" borderId="57" xfId="0" applyFont="1" applyBorder="1" applyAlignment="1">
      <alignment horizontal="left" vertical="center"/>
    </xf>
    <xf numFmtId="0" fontId="7" fillId="0" borderId="44" xfId="0" applyFont="1" applyBorder="1" applyAlignment="1">
      <alignment horizontal="left" vertical="center"/>
    </xf>
    <xf numFmtId="0" fontId="7" fillId="0" borderId="47" xfId="0" applyFont="1" applyBorder="1" applyAlignment="1">
      <alignment horizontal="left" vertical="center"/>
    </xf>
    <xf numFmtId="0" fontId="7" fillId="0" borderId="0" xfId="0" applyFont="1" applyAlignment="1">
      <alignment horizontal="left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23" fillId="2" borderId="49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0" fontId="23" fillId="2" borderId="9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15" fillId="0" borderId="65" xfId="0" applyFont="1" applyBorder="1" applyAlignment="1">
      <alignment horizontal="center" vertical="center"/>
    </xf>
    <xf numFmtId="1" fontId="15" fillId="0" borderId="66" xfId="0" applyNumberFormat="1" applyFont="1" applyBorder="1" applyAlignment="1">
      <alignment horizontal="center" vertical="center"/>
    </xf>
    <xf numFmtId="1" fontId="15" fillId="0" borderId="65" xfId="0" applyNumberFormat="1" applyFont="1" applyBorder="1" applyAlignment="1">
      <alignment horizontal="center" vertical="center"/>
    </xf>
    <xf numFmtId="49" fontId="19" fillId="0" borderId="66" xfId="0" applyNumberFormat="1" applyFont="1" applyBorder="1" applyAlignment="1">
      <alignment horizontal="center" vertical="center"/>
    </xf>
    <xf numFmtId="49" fontId="19" fillId="0" borderId="65" xfId="0" applyNumberFormat="1" applyFont="1" applyBorder="1" applyAlignment="1">
      <alignment horizontal="center" vertical="center"/>
    </xf>
    <xf numFmtId="9" fontId="19" fillId="0" borderId="66" xfId="2" applyFont="1" applyBorder="1" applyAlignment="1">
      <alignment horizontal="center" vertical="center"/>
    </xf>
    <xf numFmtId="9" fontId="19" fillId="0" borderId="65" xfId="2" applyFont="1" applyBorder="1" applyAlignment="1">
      <alignment horizontal="center" vertical="center"/>
    </xf>
    <xf numFmtId="0" fontId="15" fillId="0" borderId="66" xfId="0" applyFont="1" applyBorder="1" applyAlignment="1">
      <alignment horizontal="center" vertical="center"/>
    </xf>
    <xf numFmtId="0" fontId="19" fillId="0" borderId="66" xfId="0" applyFont="1" applyBorder="1" applyAlignment="1">
      <alignment horizontal="center" vertical="center"/>
    </xf>
    <xf numFmtId="0" fontId="19" fillId="0" borderId="65" xfId="0" applyFont="1" applyBorder="1" applyAlignment="1">
      <alignment horizontal="center" vertical="center"/>
    </xf>
  </cellXfs>
  <cellStyles count="3">
    <cellStyle name="Normal" xfId="0" builtinId="0"/>
    <cellStyle name="Normal 2" xfId="1" xr:uid="{00000000-0005-0000-0000-000001000000}"/>
    <cellStyle name="Porcentagem" xfId="2" builtinId="5"/>
  </cellStyles>
  <dxfs count="0"/>
  <tableStyles count="0" defaultTableStyle="TableStyleMedium2" defaultPivotStyle="PivotStyleLight16"/>
  <colors>
    <mruColors>
      <color rgb="FFC3332B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8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89649</xdr:colOff>
      <xdr:row>0</xdr:row>
      <xdr:rowOff>78441</xdr:rowOff>
    </xdr:from>
    <xdr:to>
      <xdr:col>8</xdr:col>
      <xdr:colOff>120086</xdr:colOff>
      <xdr:row>4</xdr:row>
      <xdr:rowOff>89647</xdr:rowOff>
    </xdr:to>
    <xdr:pic>
      <xdr:nvPicPr>
        <xdr:cNvPr id="3" name="Imagem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914" y="78441"/>
          <a:ext cx="893290" cy="840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232928</xdr:colOff>
      <xdr:row>1</xdr:row>
      <xdr:rowOff>242457</xdr:rowOff>
    </xdr:from>
    <xdr:to>
      <xdr:col>0</xdr:col>
      <xdr:colOff>1350818</xdr:colOff>
      <xdr:row>3</xdr:row>
      <xdr:rowOff>103912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232928" y="242457"/>
          <a:ext cx="1117890" cy="519546"/>
          <a:chOff x="8269942" y="347382"/>
          <a:chExt cx="963706" cy="549089"/>
        </a:xfrm>
        <a:solidFill>
          <a:schemeClr val="bg1">
            <a:lumMod val="85000"/>
          </a:schemeClr>
        </a:solidFill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8269942" y="347382"/>
            <a:ext cx="963706" cy="549089"/>
          </a:xfrm>
          <a:prstGeom prst="rect">
            <a:avLst/>
          </a:prstGeom>
          <a:grpFill/>
          <a:ln>
            <a:solidFill>
              <a:sysClr val="windowText" lastClr="0000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500">
              <a:ln>
                <a:noFill/>
              </a:ln>
              <a:solidFill>
                <a:sysClr val="windowText" lastClr="000000"/>
              </a:solidFill>
            </a:endParaRPr>
          </a:p>
        </xdr:txBody>
      </xdr:sp>
      <xdr:sp macro="[0]!Voltar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8314764" y="369795"/>
            <a:ext cx="874059" cy="470646"/>
          </a:xfrm>
          <a:prstGeom prst="rect">
            <a:avLst/>
          </a:prstGeom>
          <a:grpFill/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500">
                <a:ln>
                  <a:noFill/>
                </a:ln>
                <a:solidFill>
                  <a:sysClr val="windowText" lastClr="000000"/>
                </a:solidFill>
              </a:rPr>
              <a:t>VOLTAR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10</xdr:row>
      <xdr:rowOff>51430</xdr:rowOff>
    </xdr:from>
    <xdr:to>
      <xdr:col>6</xdr:col>
      <xdr:colOff>616323</xdr:colOff>
      <xdr:row>18</xdr:row>
      <xdr:rowOff>142357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" y="1518280"/>
          <a:ext cx="3038475" cy="1633976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21</xdr:row>
      <xdr:rowOff>66675</xdr:rowOff>
    </xdr:from>
    <xdr:to>
      <xdr:col>6</xdr:col>
      <xdr:colOff>616323</xdr:colOff>
      <xdr:row>25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286250"/>
          <a:ext cx="3057525" cy="6953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47626</xdr:colOff>
      <xdr:row>27</xdr:row>
      <xdr:rowOff>38100</xdr:rowOff>
    </xdr:from>
    <xdr:to>
      <xdr:col>7</xdr:col>
      <xdr:colOff>0</xdr:colOff>
      <xdr:row>33</xdr:row>
      <xdr:rowOff>219075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7251" y="4600575"/>
          <a:ext cx="3048000" cy="12573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10</xdr:row>
      <xdr:rowOff>66675</xdr:rowOff>
    </xdr:from>
    <xdr:to>
      <xdr:col>12</xdr:col>
      <xdr:colOff>590550</xdr:colOff>
      <xdr:row>18</xdr:row>
      <xdr:rowOff>157602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4250" y="1333500"/>
          <a:ext cx="3019425" cy="1633976"/>
        </a:xfrm>
        <a:prstGeom prst="rect">
          <a:avLst/>
        </a:prstGeom>
      </xdr:spPr>
    </xdr:pic>
    <xdr:clientData/>
  </xdr:twoCellAnchor>
  <xdr:twoCellAnchor>
    <xdr:from>
      <xdr:col>11</xdr:col>
      <xdr:colOff>501463</xdr:colOff>
      <xdr:row>18</xdr:row>
      <xdr:rowOff>9525</xdr:rowOff>
    </xdr:from>
    <xdr:to>
      <xdr:col>12</xdr:col>
      <xdr:colOff>349063</xdr:colOff>
      <xdr:row>18</xdr:row>
      <xdr:rowOff>9525</xdr:rowOff>
    </xdr:to>
    <xdr:cxnSp macro="">
      <xdr:nvCxnSpPr>
        <xdr:cNvPr id="24" name="Conector de seta reta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 flipH="1">
          <a:off x="5813051" y="2833407"/>
          <a:ext cx="463924" cy="0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279587</xdr:colOff>
      <xdr:row>18</xdr:row>
      <xdr:rowOff>9525</xdr:rowOff>
    </xdr:from>
    <xdr:to>
      <xdr:col>9</xdr:col>
      <xdr:colOff>165287</xdr:colOff>
      <xdr:row>18</xdr:row>
      <xdr:rowOff>9525</xdr:rowOff>
    </xdr:to>
    <xdr:cxnSp macro="">
      <xdr:nvCxnSpPr>
        <xdr:cNvPr id="25" name="Conector de seta reta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>
          <a:off x="3742205" y="2833407"/>
          <a:ext cx="502023" cy="0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485775</xdr:colOff>
      <xdr:row>22</xdr:row>
      <xdr:rowOff>76201</xdr:rowOff>
    </xdr:from>
    <xdr:to>
      <xdr:col>12</xdr:col>
      <xdr:colOff>104513</xdr:colOff>
      <xdr:row>28</xdr:row>
      <xdr:rowOff>171451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72025" y="3762376"/>
          <a:ext cx="2095238" cy="1162050"/>
        </a:xfrm>
        <a:prstGeom prst="rect">
          <a:avLst/>
        </a:prstGeom>
      </xdr:spPr>
    </xdr:pic>
    <xdr:clientData/>
  </xdr:twoCellAnchor>
  <xdr:twoCellAnchor>
    <xdr:from>
      <xdr:col>9</xdr:col>
      <xdr:colOff>542925</xdr:colOff>
      <xdr:row>27</xdr:row>
      <xdr:rowOff>152400</xdr:rowOff>
    </xdr:from>
    <xdr:to>
      <xdr:col>10</xdr:col>
      <xdr:colOff>419100</xdr:colOff>
      <xdr:row>27</xdr:row>
      <xdr:rowOff>152400</xdr:rowOff>
    </xdr:to>
    <xdr:cxnSp macro="">
      <xdr:nvCxnSpPr>
        <xdr:cNvPr id="16" name="Conector de seta reta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5448300" y="4714875"/>
          <a:ext cx="495300" cy="0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257175</xdr:colOff>
      <xdr:row>32</xdr:row>
      <xdr:rowOff>66675</xdr:rowOff>
    </xdr:from>
    <xdr:to>
      <xdr:col>11</xdr:col>
      <xdr:colOff>457200</xdr:colOff>
      <xdr:row>33</xdr:row>
      <xdr:rowOff>155148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62550" y="5514975"/>
          <a:ext cx="1438275" cy="27897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66675</xdr:colOff>
      <xdr:row>1</xdr:row>
      <xdr:rowOff>76200</xdr:rowOff>
    </xdr:from>
    <xdr:to>
      <xdr:col>2</xdr:col>
      <xdr:colOff>552450</xdr:colOff>
      <xdr:row>5</xdr:row>
      <xdr:rowOff>114135</xdr:rowOff>
    </xdr:to>
    <xdr:pic>
      <xdr:nvPicPr>
        <xdr:cNvPr id="21" name="Imagem 12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76200"/>
          <a:ext cx="485775" cy="4570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17</xdr:col>
      <xdr:colOff>156882</xdr:colOff>
      <xdr:row>18</xdr:row>
      <xdr:rowOff>185457</xdr:rowOff>
    </xdr:from>
    <xdr:to>
      <xdr:col>18</xdr:col>
      <xdr:colOff>539563</xdr:colOff>
      <xdr:row>24</xdr:row>
      <xdr:rowOff>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9055953" y="3002136"/>
          <a:ext cx="1008610" cy="875900"/>
          <a:chOff x="8077200" y="4048124"/>
          <a:chExt cx="1285874" cy="1343026"/>
        </a:xfrm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[0]!AbrirFormularioEmitir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8077200" y="4057650"/>
            <a:ext cx="1257300" cy="1333500"/>
          </a:xfrm>
          <a:prstGeom prst="rect">
            <a:avLst/>
          </a:prstGeom>
          <a:solidFill>
            <a:schemeClr val="tx1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endParaRPr>
          </a:p>
        </xdr:txBody>
      </xdr:sp>
      <xdr:pic macro="[0]!AbrirFormularioEmitir"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8096249" y="4048124"/>
            <a:ext cx="1266825" cy="1343025"/>
          </a:xfrm>
          <a:prstGeom prst="rect">
            <a:avLst/>
          </a:prstGeom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</xdr:pic>
    </xdr:grpSp>
    <xdr:clientData/>
  </xdr:twoCellAnchor>
  <xdr:twoCellAnchor>
    <xdr:from>
      <xdr:col>16</xdr:col>
      <xdr:colOff>123265</xdr:colOff>
      <xdr:row>22</xdr:row>
      <xdr:rowOff>156883</xdr:rowOff>
    </xdr:from>
    <xdr:to>
      <xdr:col>17</xdr:col>
      <xdr:colOff>89647</xdr:colOff>
      <xdr:row>22</xdr:row>
      <xdr:rowOff>156883</xdr:rowOff>
    </xdr:to>
    <xdr:cxnSp macro="">
      <xdr:nvCxnSpPr>
        <xdr:cNvPr id="11" name="Conector de seta reta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>
          <a:off x="8281147" y="2980765"/>
          <a:ext cx="582706" cy="0"/>
        </a:xfrm>
        <a:prstGeom prst="straightConnector1">
          <a:avLst/>
        </a:prstGeom>
        <a:ln w="76200">
          <a:solidFill>
            <a:schemeClr val="bg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Modelo">
    <pageSetUpPr fitToPage="1"/>
  </sheetPr>
  <dimension ref="B1:BZ67"/>
  <sheetViews>
    <sheetView showGridLines="0" showRowColHeaders="0" view="pageLayout" topLeftCell="A46" zoomScale="85" zoomScaleNormal="85" zoomScalePageLayoutView="85" workbookViewId="0">
      <selection activeCell="B34" sqref="B34:BS35"/>
    </sheetView>
  </sheetViews>
  <sheetFormatPr defaultRowHeight="15" x14ac:dyDescent="0.25"/>
  <cols>
    <col min="1" max="71" width="1.7109375" customWidth="1"/>
    <col min="72" max="140" width="5.7109375" customWidth="1"/>
    <col min="141" max="323" width="1.7109375" customWidth="1"/>
  </cols>
  <sheetData>
    <row r="1" spans="2:72" ht="25.5" x14ac:dyDescent="0.25"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213" t="s">
        <v>0</v>
      </c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  <c r="BK1" s="213"/>
      <c r="BL1" s="213"/>
      <c r="BM1" s="213"/>
      <c r="BN1" s="213"/>
      <c r="BO1" s="213"/>
      <c r="BP1" s="213"/>
      <c r="BQ1" s="213"/>
      <c r="BR1" s="213"/>
      <c r="BS1" s="213"/>
      <c r="BT1" s="5"/>
    </row>
    <row r="2" spans="2:72" ht="22.5" customHeight="1" x14ac:dyDescent="0.25"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3"/>
      <c r="AD2" s="1"/>
      <c r="AE2" s="1"/>
      <c r="AF2" s="1"/>
      <c r="AG2" s="1"/>
      <c r="AH2" s="1"/>
      <c r="AI2" s="7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213"/>
      <c r="AZ2" s="213"/>
      <c r="BA2" s="213"/>
      <c r="BB2" s="213"/>
      <c r="BC2" s="213"/>
      <c r="BD2" s="213"/>
      <c r="BE2" s="213"/>
      <c r="BF2" s="213"/>
      <c r="BG2" s="213"/>
      <c r="BH2" s="213"/>
      <c r="BI2" s="213"/>
      <c r="BJ2" s="213"/>
      <c r="BK2" s="213"/>
      <c r="BL2" s="213"/>
      <c r="BM2" s="213"/>
      <c r="BN2" s="213"/>
      <c r="BO2" s="213"/>
      <c r="BP2" s="213"/>
      <c r="BQ2" s="213"/>
      <c r="BR2" s="213"/>
      <c r="BS2" s="213"/>
      <c r="BT2" s="5"/>
    </row>
    <row r="3" spans="2:72" ht="9" customHeight="1" x14ac:dyDescent="0.4"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6"/>
    </row>
    <row r="4" spans="2:72" ht="8.25" customHeight="1" x14ac:dyDescent="0.4"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6"/>
    </row>
    <row r="7" spans="2:72" ht="26.25" x14ac:dyDescent="0.4">
      <c r="B7" s="214" t="s">
        <v>168</v>
      </c>
      <c r="C7" s="214"/>
      <c r="D7" s="214"/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214"/>
      <c r="BH7" s="214"/>
      <c r="BI7" s="214"/>
      <c r="BJ7" s="214"/>
      <c r="BK7" s="214"/>
      <c r="BL7" s="214"/>
      <c r="BM7" s="214"/>
      <c r="BN7" s="214"/>
      <c r="BO7" s="214"/>
      <c r="BP7" s="214"/>
      <c r="BQ7" s="214"/>
      <c r="BR7" s="214"/>
      <c r="BS7" s="214"/>
      <c r="BT7" s="4"/>
    </row>
    <row r="8" spans="2:72" ht="14.45" customHeight="1" x14ac:dyDescent="0.4">
      <c r="B8" s="135"/>
      <c r="C8" s="135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4"/>
    </row>
    <row r="9" spans="2:72" ht="14.45" customHeight="1" x14ac:dyDescent="0.4">
      <c r="B9" s="136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  <c r="U9" s="137"/>
      <c r="V9" s="137"/>
      <c r="W9" s="137"/>
      <c r="X9" s="137"/>
      <c r="Y9" s="137"/>
      <c r="Z9" s="137"/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  <c r="AM9" s="137"/>
      <c r="AN9" s="137"/>
      <c r="AO9" s="137"/>
      <c r="AP9" s="137"/>
      <c r="AQ9" s="137"/>
      <c r="AR9" s="137"/>
      <c r="AS9" s="137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7"/>
      <c r="BE9" s="137"/>
      <c r="BF9" s="137"/>
      <c r="BG9" s="137"/>
      <c r="BH9" s="137"/>
      <c r="BI9" s="137"/>
      <c r="BJ9" s="137"/>
      <c r="BK9" s="137"/>
      <c r="BL9" s="137"/>
      <c r="BM9" s="137"/>
      <c r="BN9" s="137"/>
      <c r="BO9" s="137"/>
      <c r="BP9" s="137"/>
      <c r="BQ9" s="137"/>
      <c r="BR9" s="137"/>
      <c r="BS9" s="137"/>
      <c r="BT9" s="4"/>
    </row>
    <row r="10" spans="2:72" ht="18.75" x14ac:dyDescent="0.25">
      <c r="B10" s="215" t="s">
        <v>1</v>
      </c>
      <c r="C10" s="201"/>
      <c r="D10" s="201"/>
      <c r="E10" s="201"/>
      <c r="F10" s="201"/>
      <c r="G10" s="201"/>
      <c r="H10" s="224" t="s">
        <v>244</v>
      </c>
      <c r="I10" s="224"/>
      <c r="J10" s="224"/>
      <c r="K10" s="224"/>
      <c r="L10" s="224"/>
      <c r="M10" s="224"/>
      <c r="N10" s="224"/>
      <c r="O10" s="224"/>
      <c r="P10" s="224"/>
      <c r="Q10" s="224"/>
      <c r="R10" s="224"/>
      <c r="S10" s="224"/>
      <c r="T10" s="224"/>
      <c r="U10" s="224"/>
      <c r="V10" s="224"/>
      <c r="W10" s="224"/>
      <c r="X10" s="224"/>
      <c r="Y10" s="224"/>
      <c r="Z10" s="224"/>
      <c r="AA10" s="201" t="s">
        <v>46</v>
      </c>
      <c r="AB10" s="201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2"/>
    </row>
    <row r="11" spans="2:72" ht="14.45" customHeight="1" x14ac:dyDescent="0.3"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</row>
    <row r="12" spans="2:72" ht="14.45" customHeight="1" x14ac:dyDescent="0.3"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</row>
    <row r="13" spans="2:72" ht="18.75" x14ac:dyDescent="0.3">
      <c r="B13" s="199" t="s">
        <v>219</v>
      </c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199"/>
      <c r="AX13" s="199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199"/>
      <c r="BM13" s="199"/>
      <c r="BN13" s="199"/>
      <c r="BO13" s="199"/>
      <c r="BP13" s="199"/>
      <c r="BQ13" s="199"/>
      <c r="BR13" s="199"/>
      <c r="BS13" s="199"/>
    </row>
    <row r="14" spans="2:72" ht="15" customHeight="1" x14ac:dyDescent="0.25">
      <c r="B14" s="216"/>
      <c r="C14" s="217"/>
      <c r="D14" s="217"/>
      <c r="E14" s="217"/>
      <c r="F14" s="217"/>
      <c r="G14" s="217"/>
      <c r="H14" s="217"/>
      <c r="I14" s="217"/>
      <c r="J14" s="217"/>
      <c r="K14" s="217"/>
      <c r="L14" s="218"/>
      <c r="M14" s="222" t="s">
        <v>170</v>
      </c>
      <c r="N14" s="222"/>
      <c r="O14" s="222"/>
      <c r="P14" s="222"/>
      <c r="Q14" s="222"/>
      <c r="R14" s="222"/>
      <c r="S14" s="222"/>
      <c r="T14" s="222"/>
      <c r="U14" s="222"/>
      <c r="V14" s="222"/>
      <c r="W14" s="222"/>
      <c r="X14" s="222"/>
      <c r="Y14" s="222" t="s">
        <v>172</v>
      </c>
      <c r="Z14" s="222"/>
      <c r="AA14" s="222"/>
      <c r="AB14" s="222"/>
      <c r="AC14" s="222"/>
      <c r="AD14" s="222"/>
      <c r="AE14" s="222"/>
      <c r="AF14" s="222"/>
      <c r="AG14" s="222"/>
      <c r="AH14" s="222"/>
      <c r="AI14" s="222"/>
      <c r="AJ14" s="222"/>
      <c r="AK14" s="222" t="s">
        <v>173</v>
      </c>
      <c r="AL14" s="222"/>
      <c r="AM14" s="222"/>
      <c r="AN14" s="222"/>
      <c r="AO14" s="222"/>
      <c r="AP14" s="222"/>
      <c r="AQ14" s="222"/>
      <c r="AR14" s="222"/>
      <c r="AS14" s="222"/>
      <c r="AT14" s="222"/>
      <c r="AU14" s="222"/>
      <c r="AV14" s="222" t="s">
        <v>175</v>
      </c>
      <c r="AW14" s="222"/>
      <c r="AX14" s="222"/>
      <c r="AY14" s="222"/>
      <c r="AZ14" s="222"/>
      <c r="BA14" s="222"/>
      <c r="BB14" s="222"/>
      <c r="BC14" s="222"/>
      <c r="BD14" s="222"/>
      <c r="BE14" s="222"/>
      <c r="BF14" s="222"/>
      <c r="BG14" s="222"/>
      <c r="BH14" s="223" t="s">
        <v>176</v>
      </c>
      <c r="BI14" s="222"/>
      <c r="BJ14" s="222"/>
      <c r="BK14" s="222"/>
      <c r="BL14" s="222"/>
      <c r="BM14" s="222"/>
      <c r="BN14" s="222"/>
      <c r="BO14" s="222"/>
      <c r="BP14" s="222"/>
      <c r="BQ14" s="222"/>
      <c r="BR14" s="222"/>
      <c r="BS14" s="222"/>
    </row>
    <row r="15" spans="2:72" ht="14.25" customHeight="1" x14ac:dyDescent="0.25">
      <c r="B15" s="219"/>
      <c r="C15" s="220"/>
      <c r="D15" s="220"/>
      <c r="E15" s="220"/>
      <c r="F15" s="220"/>
      <c r="G15" s="220"/>
      <c r="H15" s="220"/>
      <c r="I15" s="220"/>
      <c r="J15" s="220"/>
      <c r="K15" s="220"/>
      <c r="L15" s="221"/>
      <c r="M15" s="206" t="s">
        <v>3</v>
      </c>
      <c r="N15" s="207"/>
      <c r="O15" s="207"/>
      <c r="P15" s="207"/>
      <c r="Q15" s="207"/>
      <c r="R15" s="207"/>
      <c r="S15" s="207"/>
      <c r="T15" s="207"/>
      <c r="U15" s="207"/>
      <c r="V15" s="207"/>
      <c r="W15" s="207"/>
      <c r="X15" s="208"/>
      <c r="Y15" s="206" t="s">
        <v>4</v>
      </c>
      <c r="Z15" s="207"/>
      <c r="AA15" s="207"/>
      <c r="AB15" s="207"/>
      <c r="AC15" s="207"/>
      <c r="AD15" s="207"/>
      <c r="AE15" s="207"/>
      <c r="AF15" s="207"/>
      <c r="AG15" s="207"/>
      <c r="AH15" s="207"/>
      <c r="AI15" s="207"/>
      <c r="AJ15" s="208"/>
      <c r="AK15" s="206" t="s">
        <v>9</v>
      </c>
      <c r="AL15" s="207"/>
      <c r="AM15" s="207"/>
      <c r="AN15" s="207"/>
      <c r="AO15" s="207"/>
      <c r="AP15" s="207"/>
      <c r="AQ15" s="207"/>
      <c r="AR15" s="207"/>
      <c r="AS15" s="207"/>
      <c r="AT15" s="207"/>
      <c r="AU15" s="208"/>
      <c r="AV15" s="206" t="s">
        <v>10</v>
      </c>
      <c r="AW15" s="207"/>
      <c r="AX15" s="207"/>
      <c r="AY15" s="207"/>
      <c r="AZ15" s="207"/>
      <c r="BA15" s="207"/>
      <c r="BB15" s="207"/>
      <c r="BC15" s="207"/>
      <c r="BD15" s="207"/>
      <c r="BE15" s="207"/>
      <c r="BF15" s="207"/>
      <c r="BG15" s="208"/>
      <c r="BH15" s="206" t="s">
        <v>11</v>
      </c>
      <c r="BI15" s="207"/>
      <c r="BJ15" s="207"/>
      <c r="BK15" s="207"/>
      <c r="BL15" s="207"/>
      <c r="BM15" s="207"/>
      <c r="BN15" s="207"/>
      <c r="BO15" s="207"/>
      <c r="BP15" s="207"/>
      <c r="BQ15" s="207"/>
      <c r="BR15" s="207"/>
      <c r="BS15" s="208"/>
    </row>
    <row r="16" spans="2:72" ht="18.75" x14ac:dyDescent="0.25">
      <c r="B16" s="200" t="s">
        <v>179</v>
      </c>
      <c r="C16" s="201"/>
      <c r="D16" s="201"/>
      <c r="E16" s="201"/>
      <c r="F16" s="201"/>
      <c r="G16" s="201"/>
      <c r="H16" s="201"/>
      <c r="I16" s="201"/>
      <c r="J16" s="201"/>
      <c r="K16" s="201"/>
      <c r="L16" s="202"/>
      <c r="M16" s="209" t="s">
        <v>12</v>
      </c>
      <c r="N16" s="209"/>
      <c r="O16" s="209"/>
      <c r="P16" s="209"/>
      <c r="Q16" s="209"/>
      <c r="R16" s="209"/>
      <c r="S16" s="209"/>
      <c r="T16" s="209"/>
      <c r="U16" s="209"/>
      <c r="V16" s="209"/>
      <c r="W16" s="209"/>
      <c r="X16" s="209"/>
      <c r="Y16" s="209" t="s">
        <v>13</v>
      </c>
      <c r="Z16" s="209"/>
      <c r="AA16" s="209"/>
      <c r="AB16" s="209"/>
      <c r="AC16" s="209"/>
      <c r="AD16" s="209"/>
      <c r="AE16" s="209"/>
      <c r="AF16" s="209"/>
      <c r="AG16" s="209"/>
      <c r="AH16" s="209"/>
      <c r="AI16" s="209"/>
      <c r="AJ16" s="209"/>
      <c r="AK16" s="209" t="s">
        <v>180</v>
      </c>
      <c r="AL16" s="209"/>
      <c r="AM16" s="209"/>
      <c r="AN16" s="209"/>
      <c r="AO16" s="209"/>
      <c r="AP16" s="209"/>
      <c r="AQ16" s="209"/>
      <c r="AR16" s="209"/>
      <c r="AS16" s="209"/>
      <c r="AT16" s="209"/>
      <c r="AU16" s="209"/>
      <c r="AV16" s="210" t="s">
        <v>267</v>
      </c>
      <c r="AW16" s="211"/>
      <c r="AX16" s="211"/>
      <c r="AY16" s="211"/>
      <c r="AZ16" s="211"/>
      <c r="BA16" s="211"/>
      <c r="BB16" s="211"/>
      <c r="BC16" s="211"/>
      <c r="BD16" s="211"/>
      <c r="BE16" s="211"/>
      <c r="BF16" s="211"/>
      <c r="BG16" s="211"/>
      <c r="BH16" s="211"/>
      <c r="BI16" s="211"/>
      <c r="BJ16" s="211"/>
      <c r="BK16" s="211"/>
      <c r="BL16" s="211"/>
      <c r="BM16" s="211"/>
      <c r="BN16" s="211"/>
      <c r="BO16" s="211"/>
      <c r="BP16" s="211"/>
      <c r="BQ16" s="211"/>
      <c r="BR16" s="211"/>
      <c r="BS16" s="212"/>
    </row>
    <row r="17" spans="2:78" ht="18.75" x14ac:dyDescent="0.3"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</row>
    <row r="18" spans="2:78" ht="18.75" x14ac:dyDescent="0.3"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</row>
    <row r="19" spans="2:78" ht="18.75" x14ac:dyDescent="0.3">
      <c r="B19" s="199" t="s">
        <v>221</v>
      </c>
      <c r="C19" s="199"/>
      <c r="D19" s="199"/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  <c r="AA19" s="199"/>
      <c r="AB19" s="199"/>
      <c r="AC19" s="199"/>
      <c r="AD19" s="199"/>
      <c r="AE19" s="199"/>
      <c r="AF19" s="199"/>
      <c r="AG19" s="199"/>
      <c r="AH19" s="199"/>
      <c r="AI19" s="199"/>
      <c r="AJ19" s="199"/>
      <c r="AK19" s="199"/>
      <c r="AL19" s="199"/>
      <c r="AM19" s="199"/>
      <c r="AN19" s="199"/>
      <c r="AO19" s="199"/>
      <c r="AP19" s="199"/>
      <c r="AQ19" s="199"/>
      <c r="AR19" s="199"/>
      <c r="AS19" s="199"/>
      <c r="AT19" s="199"/>
      <c r="AU19" s="199"/>
      <c r="AV19" s="199"/>
      <c r="AW19" s="199"/>
      <c r="AX19" s="199"/>
      <c r="AY19" s="199"/>
      <c r="AZ19" s="199"/>
      <c r="BA19" s="199"/>
      <c r="BB19" s="199"/>
      <c r="BC19" s="199"/>
      <c r="BD19" s="199"/>
      <c r="BE19" s="199"/>
      <c r="BF19" s="199"/>
      <c r="BG19" s="199"/>
      <c r="BH19" s="199"/>
      <c r="BI19" s="199"/>
      <c r="BJ19" s="199"/>
      <c r="BK19" s="199"/>
      <c r="BL19" s="199"/>
      <c r="BM19" s="199"/>
      <c r="BN19" s="199"/>
      <c r="BO19" s="199"/>
      <c r="BP19" s="199"/>
      <c r="BQ19" s="199"/>
      <c r="BR19" s="199"/>
      <c r="BS19" s="199"/>
    </row>
    <row r="20" spans="2:78" ht="18.75" x14ac:dyDescent="0.3">
      <c r="B20" s="200" t="s">
        <v>181</v>
      </c>
      <c r="C20" s="201"/>
      <c r="D20" s="201"/>
      <c r="E20" s="201"/>
      <c r="F20" s="201"/>
      <c r="G20" s="201"/>
      <c r="H20" s="201"/>
      <c r="I20" s="201"/>
      <c r="J20" s="201"/>
      <c r="K20" s="201"/>
      <c r="L20" s="202"/>
      <c r="M20" s="203" t="s">
        <v>151</v>
      </c>
      <c r="N20" s="204"/>
      <c r="O20" s="204"/>
      <c r="P20" s="204"/>
      <c r="Q20" s="204"/>
      <c r="R20" s="204"/>
      <c r="S20" s="204"/>
      <c r="T20" s="204"/>
      <c r="U20" s="204"/>
      <c r="V20" s="204"/>
      <c r="W20" s="204"/>
      <c r="X20" s="204"/>
      <c r="Y20" s="204"/>
      <c r="Z20" s="204"/>
      <c r="AA20" s="204"/>
      <c r="AB20" s="204"/>
      <c r="AC20" s="204"/>
      <c r="AD20" s="204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  <c r="AP20" s="204"/>
      <c r="AQ20" s="204"/>
      <c r="AR20" s="204"/>
      <c r="AS20" s="204"/>
      <c r="AT20" s="204"/>
      <c r="AU20" s="204"/>
      <c r="AV20" s="204"/>
      <c r="AW20" s="204"/>
      <c r="AX20" s="204"/>
      <c r="AY20" s="204"/>
      <c r="AZ20" s="204"/>
      <c r="BA20" s="204"/>
      <c r="BB20" s="204"/>
      <c r="BC20" s="204"/>
      <c r="BD20" s="204"/>
      <c r="BE20" s="204"/>
      <c r="BF20" s="204"/>
      <c r="BG20" s="204"/>
      <c r="BH20" s="204"/>
      <c r="BI20" s="204"/>
      <c r="BJ20" s="204"/>
      <c r="BK20" s="204"/>
      <c r="BL20" s="204"/>
      <c r="BM20" s="204"/>
      <c r="BN20" s="204"/>
      <c r="BO20" s="204"/>
      <c r="BP20" s="204"/>
      <c r="BQ20" s="204"/>
      <c r="BR20" s="204"/>
      <c r="BS20" s="205"/>
    </row>
    <row r="21" spans="2:78" ht="18.75" x14ac:dyDescent="0.3"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</row>
    <row r="22" spans="2:78" ht="18.75" x14ac:dyDescent="0.3"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</row>
    <row r="23" spans="2:78" ht="18.75" x14ac:dyDescent="0.3">
      <c r="B23" s="199" t="s">
        <v>223</v>
      </c>
      <c r="C23" s="199"/>
      <c r="D23" s="199"/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  <c r="AA23" s="199"/>
      <c r="AB23" s="199"/>
      <c r="AC23" s="199"/>
      <c r="AD23" s="199"/>
      <c r="AE23" s="199"/>
      <c r="AF23" s="199"/>
      <c r="AG23" s="199"/>
      <c r="AH23" s="199"/>
      <c r="AI23" s="199"/>
      <c r="AJ23" s="199"/>
      <c r="AK23" s="199"/>
      <c r="AL23" s="199"/>
      <c r="AM23" s="199"/>
      <c r="AN23" s="199"/>
      <c r="AO23" s="199"/>
      <c r="AP23" s="199"/>
      <c r="AQ23" s="199"/>
      <c r="AR23" s="199"/>
      <c r="AS23" s="199"/>
      <c r="AT23" s="199"/>
      <c r="AU23" s="199"/>
      <c r="AV23" s="199"/>
      <c r="AW23" s="199"/>
      <c r="AX23" s="199"/>
      <c r="AY23" s="199"/>
      <c r="AZ23" s="199"/>
      <c r="BA23" s="199"/>
      <c r="BB23" s="199"/>
      <c r="BC23" s="199"/>
      <c r="BD23" s="199"/>
      <c r="BE23" s="199"/>
      <c r="BF23" s="199"/>
      <c r="BG23" s="199"/>
      <c r="BH23" s="199"/>
      <c r="BI23" s="199"/>
      <c r="BJ23" s="199"/>
      <c r="BK23" s="199"/>
      <c r="BL23" s="199"/>
      <c r="BM23" s="199"/>
      <c r="BN23" s="199"/>
      <c r="BO23" s="199"/>
      <c r="BP23" s="199"/>
      <c r="BQ23" s="199"/>
      <c r="BR23" s="199"/>
      <c r="BS23" s="199"/>
    </row>
    <row r="24" spans="2:78" ht="18.75" x14ac:dyDescent="0.25">
      <c r="B24" s="234" t="s">
        <v>183</v>
      </c>
      <c r="C24" s="192"/>
      <c r="D24" s="192"/>
      <c r="E24" s="192"/>
      <c r="F24" s="192"/>
      <c r="G24" s="192"/>
      <c r="H24" s="192"/>
      <c r="I24" s="192"/>
      <c r="J24" s="192"/>
      <c r="K24" s="192"/>
      <c r="L24" s="294"/>
      <c r="M24" s="295">
        <v>18</v>
      </c>
      <c r="N24" s="190"/>
      <c r="O24" s="190"/>
      <c r="P24" s="190"/>
      <c r="Q24" s="190"/>
      <c r="R24" s="190"/>
      <c r="S24" s="190"/>
      <c r="T24" s="190"/>
      <c r="U24" s="190"/>
      <c r="V24" s="190"/>
      <c r="W24" s="190"/>
      <c r="X24" s="190"/>
      <c r="Y24" s="190"/>
      <c r="Z24" s="296"/>
      <c r="AA24" s="295">
        <v>20</v>
      </c>
      <c r="AB24" s="190"/>
      <c r="AC24" s="190"/>
      <c r="AD24" s="190"/>
      <c r="AE24" s="190"/>
      <c r="AF24" s="190"/>
      <c r="AG24" s="190"/>
      <c r="AH24" s="190"/>
      <c r="AI24" s="190"/>
      <c r="AJ24" s="190"/>
      <c r="AK24" s="190"/>
      <c r="AL24" s="190"/>
      <c r="AM24" s="190"/>
      <c r="AN24" s="190"/>
      <c r="AO24" s="296"/>
      <c r="AP24" s="295">
        <v>30</v>
      </c>
      <c r="AQ24" s="190"/>
      <c r="AR24" s="190"/>
      <c r="AS24" s="190"/>
      <c r="AT24" s="190"/>
      <c r="AU24" s="190"/>
      <c r="AV24" s="190"/>
      <c r="AW24" s="190"/>
      <c r="AX24" s="190"/>
      <c r="AY24" s="190"/>
      <c r="AZ24" s="190"/>
      <c r="BA24" s="190"/>
      <c r="BB24" s="190"/>
      <c r="BC24" s="190"/>
      <c r="BD24" s="296"/>
      <c r="BE24" s="295">
        <v>35</v>
      </c>
      <c r="BF24" s="190"/>
      <c r="BG24" s="190"/>
      <c r="BH24" s="190"/>
      <c r="BI24" s="190"/>
      <c r="BJ24" s="190"/>
      <c r="BK24" s="190"/>
      <c r="BL24" s="190"/>
      <c r="BM24" s="190"/>
      <c r="BN24" s="190"/>
      <c r="BO24" s="190"/>
      <c r="BP24" s="190"/>
      <c r="BQ24" s="190"/>
      <c r="BR24" s="190"/>
      <c r="BS24" s="191"/>
    </row>
    <row r="25" spans="2:78" ht="18.75" x14ac:dyDescent="0.25">
      <c r="B25" s="234" t="s">
        <v>184</v>
      </c>
      <c r="C25" s="192"/>
      <c r="D25" s="192"/>
      <c r="E25" s="192"/>
      <c r="F25" s="192"/>
      <c r="G25" s="192"/>
      <c r="H25" s="192"/>
      <c r="I25" s="192"/>
      <c r="J25" s="192"/>
      <c r="K25" s="192"/>
      <c r="L25" s="294"/>
      <c r="M25" s="297" t="s">
        <v>249</v>
      </c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298"/>
      <c r="AA25" s="297" t="s">
        <v>248</v>
      </c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6"/>
      <c r="AO25" s="298"/>
      <c r="AP25" s="297" t="s">
        <v>247</v>
      </c>
      <c r="AQ25" s="186"/>
      <c r="AR25" s="186"/>
      <c r="AS25" s="186"/>
      <c r="AT25" s="186"/>
      <c r="AU25" s="186"/>
      <c r="AV25" s="186"/>
      <c r="AW25" s="186"/>
      <c r="AX25" s="186"/>
      <c r="AY25" s="186"/>
      <c r="AZ25" s="186"/>
      <c r="BA25" s="186"/>
      <c r="BB25" s="186"/>
      <c r="BC25" s="186"/>
      <c r="BD25" s="298"/>
      <c r="BE25" s="297" t="s">
        <v>264</v>
      </c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6"/>
      <c r="BS25" s="187"/>
    </row>
    <row r="26" spans="2:78" ht="18.75" x14ac:dyDescent="0.25">
      <c r="B26" s="234" t="s">
        <v>181</v>
      </c>
      <c r="C26" s="192"/>
      <c r="D26" s="192"/>
      <c r="E26" s="192"/>
      <c r="F26" s="192"/>
      <c r="G26" s="192"/>
      <c r="H26" s="192"/>
      <c r="I26" s="192"/>
      <c r="J26" s="192"/>
      <c r="K26" s="192"/>
      <c r="L26" s="294"/>
      <c r="M26" s="299">
        <v>0</v>
      </c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300"/>
      <c r="AA26" s="299" t="s">
        <v>101</v>
      </c>
      <c r="AB26" s="188"/>
      <c r="AC26" s="188"/>
      <c r="AD26" s="188"/>
      <c r="AE26" s="188"/>
      <c r="AF26" s="188"/>
      <c r="AG26" s="188"/>
      <c r="AH26" s="188"/>
      <c r="AI26" s="188"/>
      <c r="AJ26" s="188"/>
      <c r="AK26" s="188"/>
      <c r="AL26" s="188"/>
      <c r="AM26" s="188"/>
      <c r="AN26" s="188"/>
      <c r="AO26" s="300"/>
      <c r="AP26" s="299" t="s">
        <v>103</v>
      </c>
      <c r="AQ26" s="188"/>
      <c r="AR26" s="188"/>
      <c r="AS26" s="188"/>
      <c r="AT26" s="188"/>
      <c r="AU26" s="188"/>
      <c r="AV26" s="188"/>
      <c r="AW26" s="188"/>
      <c r="AX26" s="188"/>
      <c r="AY26" s="188"/>
      <c r="AZ26" s="188"/>
      <c r="BA26" s="188"/>
      <c r="BB26" s="188"/>
      <c r="BC26" s="188"/>
      <c r="BD26" s="300"/>
      <c r="BE26" s="299" t="s">
        <v>104</v>
      </c>
      <c r="BF26" s="188"/>
      <c r="BG26" s="188"/>
      <c r="BH26" s="188"/>
      <c r="BI26" s="188"/>
      <c r="BJ26" s="188"/>
      <c r="BK26" s="188"/>
      <c r="BL26" s="188"/>
      <c r="BM26" s="188"/>
      <c r="BN26" s="188"/>
      <c r="BO26" s="188"/>
      <c r="BP26" s="188"/>
      <c r="BQ26" s="188"/>
      <c r="BR26" s="188"/>
      <c r="BS26" s="189"/>
      <c r="BT26" s="133"/>
      <c r="BU26" s="133"/>
      <c r="BV26" s="133"/>
      <c r="BW26" s="133"/>
      <c r="BX26" s="133"/>
      <c r="BY26" s="133"/>
      <c r="BZ26" s="133"/>
    </row>
    <row r="27" spans="2:78" ht="18.75" x14ac:dyDescent="0.3"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</row>
    <row r="28" spans="2:78" ht="18.75" x14ac:dyDescent="0.3"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</row>
    <row r="29" spans="2:78" ht="18.75" x14ac:dyDescent="0.3">
      <c r="B29" s="199" t="s">
        <v>224</v>
      </c>
      <c r="C29" s="199"/>
      <c r="D29" s="199"/>
      <c r="E29" s="199"/>
      <c r="F29" s="199"/>
      <c r="G29" s="199"/>
      <c r="H29" s="199"/>
      <c r="I29" s="199"/>
      <c r="J29" s="199"/>
      <c r="K29" s="199"/>
      <c r="L29" s="199"/>
      <c r="M29" s="199"/>
      <c r="N29" s="199"/>
      <c r="O29" s="199"/>
      <c r="P29" s="199"/>
      <c r="Q29" s="199"/>
      <c r="R29" s="199"/>
      <c r="S29" s="199"/>
      <c r="T29" s="199"/>
      <c r="U29" s="199"/>
      <c r="V29" s="199"/>
      <c r="W29" s="199"/>
      <c r="X29" s="199"/>
      <c r="Y29" s="199"/>
      <c r="Z29" s="199"/>
      <c r="AA29" s="199"/>
      <c r="AB29" s="199"/>
      <c r="AC29" s="199"/>
      <c r="AD29" s="199"/>
      <c r="AE29" s="199"/>
      <c r="AF29" s="199"/>
      <c r="AG29" s="199"/>
      <c r="AH29" s="199"/>
      <c r="AI29" s="199"/>
      <c r="AJ29" s="199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  <c r="AU29" s="199"/>
      <c r="AV29" s="199"/>
      <c r="AW29" s="199"/>
      <c r="AX29" s="199"/>
      <c r="AY29" s="199"/>
      <c r="AZ29" s="199"/>
      <c r="BA29" s="199"/>
      <c r="BB29" s="199"/>
      <c r="BC29" s="199"/>
      <c r="BD29" s="199"/>
      <c r="BE29" s="199"/>
      <c r="BF29" s="199"/>
      <c r="BG29" s="199"/>
      <c r="BH29" s="199"/>
      <c r="BI29" s="199"/>
      <c r="BJ29" s="199"/>
      <c r="BK29" s="199"/>
      <c r="BL29" s="199"/>
      <c r="BM29" s="199"/>
      <c r="BN29" s="199"/>
      <c r="BO29" s="199"/>
      <c r="BP29" s="199"/>
      <c r="BQ29" s="199"/>
      <c r="BR29" s="199"/>
      <c r="BS29" s="199"/>
    </row>
    <row r="30" spans="2:78" ht="18.75" x14ac:dyDescent="0.3">
      <c r="B30" s="194" t="s">
        <v>196</v>
      </c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P30" s="197" t="s">
        <v>198</v>
      </c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197"/>
      <c r="AC30" s="197"/>
      <c r="AD30" s="197"/>
      <c r="AE30" s="197"/>
      <c r="AF30" s="197"/>
      <c r="AG30" s="197"/>
      <c r="AH30" s="197"/>
      <c r="AI30" s="197"/>
      <c r="AJ30" s="197"/>
      <c r="AK30" s="197"/>
      <c r="AL30" s="197"/>
      <c r="AM30" s="197"/>
      <c r="AN30" s="197"/>
      <c r="AO30" s="197"/>
      <c r="AP30" s="197"/>
      <c r="AQ30" s="197"/>
      <c r="AR30" s="197"/>
      <c r="AS30" s="197"/>
      <c r="AT30" s="197"/>
      <c r="AU30" s="197"/>
      <c r="AV30" s="197"/>
      <c r="AW30" s="197"/>
      <c r="AX30" s="197"/>
      <c r="AY30" s="197"/>
      <c r="AZ30" s="197"/>
      <c r="BA30" s="197"/>
      <c r="BB30" s="197"/>
      <c r="BC30" s="197"/>
      <c r="BD30" s="197"/>
      <c r="BE30" s="197"/>
      <c r="BF30" s="197"/>
      <c r="BG30" s="197"/>
      <c r="BH30" s="197"/>
      <c r="BI30" s="197"/>
      <c r="BJ30" s="197"/>
      <c r="BK30" s="197"/>
      <c r="BL30" s="197"/>
      <c r="BM30" s="197"/>
      <c r="BN30" s="197"/>
      <c r="BO30" s="197"/>
      <c r="BP30" s="197"/>
      <c r="BQ30" s="197"/>
      <c r="BR30" s="197"/>
      <c r="BS30" s="198"/>
    </row>
    <row r="31" spans="2:78" ht="18.75" x14ac:dyDescent="0.3"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</row>
    <row r="32" spans="2:78" ht="18.75" x14ac:dyDescent="0.3"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</row>
    <row r="33" spans="2:71" ht="18.75" x14ac:dyDescent="0.3">
      <c r="B33" s="199" t="s">
        <v>226</v>
      </c>
      <c r="C33" s="199"/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9"/>
      <c r="O33" s="199"/>
      <c r="P33" s="199"/>
      <c r="Q33" s="199"/>
      <c r="R33" s="199"/>
      <c r="S33" s="199"/>
      <c r="T33" s="199"/>
      <c r="U33" s="199"/>
      <c r="V33" s="199"/>
      <c r="W33" s="199"/>
      <c r="X33" s="199"/>
      <c r="Y33" s="199"/>
      <c r="Z33" s="199"/>
      <c r="AA33" s="199"/>
      <c r="AB33" s="199"/>
      <c r="AC33" s="199"/>
      <c r="AD33" s="199"/>
      <c r="AE33" s="199"/>
      <c r="AF33" s="199"/>
      <c r="AG33" s="199"/>
      <c r="AH33" s="199"/>
      <c r="AI33" s="199"/>
      <c r="AJ33" s="199"/>
      <c r="AK33" s="199"/>
      <c r="AL33" s="199"/>
      <c r="AM33" s="199"/>
      <c r="AN33" s="199"/>
      <c r="AO33" s="199"/>
      <c r="AP33" s="199"/>
      <c r="AQ33" s="199"/>
      <c r="AR33" s="199"/>
      <c r="AS33" s="199"/>
      <c r="AT33" s="199"/>
      <c r="AU33" s="199"/>
      <c r="AV33" s="199"/>
      <c r="AW33" s="199"/>
      <c r="AX33" s="199"/>
      <c r="AY33" s="199"/>
      <c r="AZ33" s="199"/>
      <c r="BA33" s="199"/>
      <c r="BB33" s="199"/>
      <c r="BC33" s="199"/>
      <c r="BD33" s="199"/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</row>
    <row r="34" spans="2:71" ht="18.75" x14ac:dyDescent="0.25">
      <c r="B34" s="234"/>
      <c r="C34" s="192"/>
      <c r="D34" s="192"/>
      <c r="E34" s="192"/>
      <c r="F34" s="192"/>
      <c r="G34" s="192"/>
      <c r="H34" s="192"/>
      <c r="I34" s="192"/>
      <c r="J34" s="192"/>
      <c r="K34" s="192"/>
      <c r="L34" s="294"/>
      <c r="M34" s="301" t="s">
        <v>202</v>
      </c>
      <c r="N34" s="192"/>
      <c r="O34" s="192"/>
      <c r="P34" s="192"/>
      <c r="Q34" s="192"/>
      <c r="R34" s="192"/>
      <c r="S34" s="192"/>
      <c r="T34" s="192"/>
      <c r="U34" s="192"/>
      <c r="V34" s="192"/>
      <c r="W34" s="192"/>
      <c r="X34" s="192"/>
      <c r="Y34" s="192"/>
      <c r="Z34" s="294"/>
      <c r="AA34" s="301" t="s">
        <v>203</v>
      </c>
      <c r="AB34" s="192"/>
      <c r="AC34" s="192"/>
      <c r="AD34" s="192"/>
      <c r="AE34" s="192"/>
      <c r="AF34" s="192"/>
      <c r="AG34" s="192"/>
      <c r="AH34" s="192"/>
      <c r="AI34" s="192"/>
      <c r="AJ34" s="192"/>
      <c r="AK34" s="192"/>
      <c r="AL34" s="192"/>
      <c r="AM34" s="192"/>
      <c r="AN34" s="192"/>
      <c r="AO34" s="294"/>
      <c r="AP34" s="301" t="s">
        <v>188</v>
      </c>
      <c r="AQ34" s="192"/>
      <c r="AR34" s="192"/>
      <c r="AS34" s="192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294"/>
      <c r="BE34" s="301" t="s">
        <v>204</v>
      </c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3"/>
    </row>
    <row r="35" spans="2:71" ht="18.75" x14ac:dyDescent="0.25">
      <c r="B35" s="234" t="s">
        <v>181</v>
      </c>
      <c r="C35" s="192"/>
      <c r="D35" s="192"/>
      <c r="E35" s="192"/>
      <c r="F35" s="192"/>
      <c r="G35" s="192"/>
      <c r="H35" s="192"/>
      <c r="I35" s="192"/>
      <c r="J35" s="192"/>
      <c r="K35" s="192"/>
      <c r="L35" s="294"/>
      <c r="M35" s="302" t="s">
        <v>101</v>
      </c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303"/>
      <c r="AA35" s="302" t="s">
        <v>101</v>
      </c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5"/>
      <c r="AM35" s="235"/>
      <c r="AN35" s="235"/>
      <c r="AO35" s="303"/>
      <c r="AP35" s="302" t="s">
        <v>157</v>
      </c>
      <c r="AQ35" s="235"/>
      <c r="AR35" s="235"/>
      <c r="AS35" s="235"/>
      <c r="AT35" s="235"/>
      <c r="AU35" s="235"/>
      <c r="AV35" s="235"/>
      <c r="AW35" s="235"/>
      <c r="AX35" s="235"/>
      <c r="AY35" s="235"/>
      <c r="AZ35" s="235"/>
      <c r="BA35" s="235"/>
      <c r="BB35" s="235"/>
      <c r="BC35" s="235"/>
      <c r="BD35" s="303"/>
      <c r="BE35" s="302" t="s">
        <v>105</v>
      </c>
      <c r="BF35" s="235"/>
      <c r="BG35" s="235"/>
      <c r="BH35" s="235"/>
      <c r="BI35" s="235"/>
      <c r="BJ35" s="235"/>
      <c r="BK35" s="235"/>
      <c r="BL35" s="235"/>
      <c r="BM35" s="235"/>
      <c r="BN35" s="235"/>
      <c r="BO35" s="235"/>
      <c r="BP35" s="235"/>
      <c r="BQ35" s="235"/>
      <c r="BR35" s="235"/>
      <c r="BS35" s="236"/>
    </row>
    <row r="36" spans="2:71" ht="18.75" x14ac:dyDescent="0.3"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</row>
    <row r="37" spans="2:71" ht="18.75" x14ac:dyDescent="0.3"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</row>
    <row r="38" spans="2:71" ht="18.75" x14ac:dyDescent="0.3">
      <c r="B38" s="199" t="s">
        <v>228</v>
      </c>
      <c r="C38" s="199"/>
      <c r="D38" s="199"/>
      <c r="E38" s="199"/>
      <c r="F38" s="199"/>
      <c r="G38" s="199"/>
      <c r="H38" s="199"/>
      <c r="I38" s="199"/>
      <c r="J38" s="199"/>
      <c r="K38" s="199"/>
      <c r="L38" s="199"/>
      <c r="M38" s="199"/>
      <c r="N38" s="199"/>
      <c r="O38" s="199"/>
      <c r="P38" s="199"/>
      <c r="Q38" s="199"/>
      <c r="R38" s="199"/>
      <c r="S38" s="199"/>
      <c r="T38" s="199"/>
      <c r="U38" s="199"/>
      <c r="V38" s="199"/>
      <c r="W38" s="199"/>
      <c r="X38" s="199"/>
      <c r="Y38" s="199"/>
      <c r="Z38" s="199"/>
      <c r="AA38" s="199"/>
      <c r="AB38" s="199"/>
      <c r="AC38" s="199"/>
      <c r="AD38" s="199"/>
      <c r="AE38" s="199"/>
      <c r="AF38" s="199"/>
      <c r="AG38" s="199"/>
      <c r="AH38" s="199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199"/>
      <c r="AV38" s="199"/>
      <c r="AW38" s="199"/>
      <c r="AX38" s="199"/>
      <c r="AY38" s="199"/>
      <c r="AZ38" s="199"/>
      <c r="BA38" s="199"/>
      <c r="BB38" s="199"/>
      <c r="BC38" s="199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</row>
    <row r="39" spans="2:71" ht="18.75" x14ac:dyDescent="0.3">
      <c r="B39" s="227" t="s">
        <v>181</v>
      </c>
      <c r="C39" s="227"/>
      <c r="D39" s="227"/>
      <c r="E39" s="227"/>
      <c r="F39" s="227"/>
      <c r="G39" s="227"/>
      <c r="H39" s="227"/>
      <c r="I39" s="227"/>
      <c r="J39" s="227"/>
      <c r="K39" s="227"/>
      <c r="L39" s="227"/>
      <c r="M39" s="228" t="s">
        <v>242</v>
      </c>
      <c r="N39" s="229"/>
      <c r="O39" s="229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  <c r="AC39" s="229"/>
      <c r="AD39" s="229"/>
      <c r="AE39" s="229"/>
      <c r="AF39" s="229"/>
      <c r="AG39" s="229"/>
      <c r="AH39" s="229"/>
      <c r="AI39" s="229"/>
      <c r="AJ39" s="229"/>
      <c r="AK39" s="229"/>
      <c r="AL39" s="229"/>
      <c r="AM39" s="229"/>
      <c r="AN39" s="229"/>
      <c r="AO39" s="229"/>
      <c r="AP39" s="229"/>
      <c r="AQ39" s="229"/>
      <c r="AR39" s="229"/>
      <c r="AS39" s="229"/>
      <c r="AT39" s="229"/>
      <c r="AU39" s="229"/>
      <c r="AV39" s="229"/>
      <c r="AW39" s="229"/>
      <c r="AX39" s="229"/>
      <c r="AY39" s="229"/>
      <c r="AZ39" s="229"/>
      <c r="BA39" s="229"/>
      <c r="BB39" s="229"/>
      <c r="BC39" s="229"/>
      <c r="BD39" s="229"/>
      <c r="BE39" s="229"/>
      <c r="BF39" s="229"/>
      <c r="BG39" s="229"/>
      <c r="BH39" s="229"/>
      <c r="BI39" s="229"/>
      <c r="BJ39" s="229"/>
      <c r="BK39" s="229"/>
      <c r="BL39" s="229"/>
      <c r="BM39" s="229"/>
      <c r="BN39" s="229"/>
      <c r="BO39" s="229"/>
      <c r="BP39" s="229"/>
      <c r="BQ39" s="229"/>
      <c r="BR39" s="229"/>
      <c r="BS39" s="230"/>
    </row>
    <row r="40" spans="2:71" ht="18.75" x14ac:dyDescent="0.3"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</row>
    <row r="41" spans="2:71" ht="18.75" x14ac:dyDescent="0.3"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</row>
    <row r="42" spans="2:71" ht="18.75" x14ac:dyDescent="0.3">
      <c r="B42" s="199" t="s">
        <v>231</v>
      </c>
      <c r="C42" s="199"/>
      <c r="D42" s="199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199"/>
      <c r="AK42" s="199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199"/>
      <c r="AX42" s="199"/>
      <c r="AY42" s="199"/>
      <c r="AZ42" s="199"/>
      <c r="BA42" s="199"/>
      <c r="BB42" s="199"/>
      <c r="BC42" s="199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</row>
    <row r="43" spans="2:71" ht="18.75" x14ac:dyDescent="0.3">
      <c r="B43" s="227" t="s">
        <v>181</v>
      </c>
      <c r="C43" s="227"/>
      <c r="D43" s="227"/>
      <c r="E43" s="227"/>
      <c r="F43" s="227"/>
      <c r="G43" s="227"/>
      <c r="H43" s="227"/>
      <c r="I43" s="227"/>
      <c r="J43" s="227"/>
      <c r="K43" s="227"/>
      <c r="L43" s="227"/>
      <c r="M43" s="227" t="s">
        <v>192</v>
      </c>
      <c r="N43" s="227"/>
      <c r="O43" s="227"/>
      <c r="P43" s="227"/>
      <c r="Q43" s="227"/>
      <c r="R43" s="227"/>
      <c r="S43" s="227"/>
      <c r="T43" s="227"/>
      <c r="U43" s="227"/>
      <c r="V43" s="227"/>
      <c r="W43" s="227"/>
      <c r="X43" s="227"/>
      <c r="Y43" s="227"/>
      <c r="Z43" s="227"/>
      <c r="AA43" s="227"/>
      <c r="AB43" s="227"/>
      <c r="AC43" s="227"/>
      <c r="AD43" s="227"/>
      <c r="AE43" s="227"/>
      <c r="AF43" s="227"/>
      <c r="AG43" s="227"/>
      <c r="AH43" s="227"/>
      <c r="AI43" s="227"/>
      <c r="AJ43" s="227"/>
      <c r="AK43" s="227"/>
      <c r="AL43" s="227"/>
      <c r="AM43" s="227"/>
      <c r="AN43" s="227"/>
      <c r="AO43" s="227"/>
      <c r="AP43" s="227"/>
      <c r="AQ43" s="227"/>
      <c r="AR43" s="227"/>
      <c r="AS43" s="227"/>
      <c r="AT43" s="227"/>
      <c r="AU43" s="227"/>
      <c r="AV43" s="227"/>
      <c r="AW43" s="227"/>
      <c r="AX43" s="227"/>
      <c r="AY43" s="227"/>
      <c r="AZ43" s="227"/>
      <c r="BA43" s="227"/>
      <c r="BB43" s="227"/>
      <c r="BC43" s="227"/>
      <c r="BD43" s="227"/>
      <c r="BE43" s="227"/>
      <c r="BF43" s="227"/>
      <c r="BG43" s="227"/>
      <c r="BH43" s="227"/>
      <c r="BI43" s="227"/>
      <c r="BJ43" s="227"/>
      <c r="BK43" s="227"/>
      <c r="BL43" s="227"/>
      <c r="BM43" s="227"/>
      <c r="BN43" s="227"/>
      <c r="BO43" s="227"/>
      <c r="BP43" s="227"/>
      <c r="BQ43" s="227"/>
      <c r="BR43" s="227"/>
      <c r="BS43" s="227"/>
    </row>
    <row r="44" spans="2:71" ht="18.75" x14ac:dyDescent="0.3"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</row>
    <row r="45" spans="2:71" ht="18.75" x14ac:dyDescent="0.3"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</row>
    <row r="46" spans="2:71" ht="21" x14ac:dyDescent="0.35">
      <c r="B46" s="231" t="s">
        <v>195</v>
      </c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</row>
    <row r="47" spans="2:71" ht="18.75" x14ac:dyDescent="0.3"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</row>
    <row r="48" spans="2:71" ht="18.75" x14ac:dyDescent="0.3"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</row>
    <row r="49" spans="2:71" ht="18.75" x14ac:dyDescent="0.25">
      <c r="B49" s="232" t="s">
        <v>206</v>
      </c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32"/>
      <c r="S49" s="232"/>
      <c r="T49" s="232"/>
      <c r="U49" s="232"/>
      <c r="V49" s="232"/>
      <c r="W49" s="232"/>
      <c r="X49" s="232"/>
      <c r="Y49" s="232"/>
      <c r="Z49" s="232"/>
      <c r="AA49" s="232"/>
      <c r="AB49" s="232"/>
      <c r="AC49" s="232"/>
      <c r="AD49" s="232"/>
      <c r="AE49" s="232"/>
      <c r="AF49" s="232"/>
      <c r="AG49" s="232"/>
      <c r="AH49" s="232"/>
      <c r="AI49" s="232"/>
      <c r="AJ49" s="232"/>
      <c r="AK49" s="232"/>
      <c r="AL49" s="232"/>
      <c r="AM49" s="232"/>
      <c r="AN49" s="232"/>
      <c r="AO49" s="232"/>
      <c r="AP49" s="232"/>
      <c r="AQ49" s="232"/>
      <c r="AR49" s="232"/>
      <c r="AS49" s="232"/>
      <c r="AT49" s="232"/>
      <c r="AU49" s="232"/>
      <c r="AV49" s="232"/>
      <c r="AW49" s="232"/>
      <c r="AX49" s="232"/>
      <c r="AY49" s="232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  <c r="BJ49" s="232"/>
      <c r="BK49" s="232"/>
      <c r="BL49" s="232"/>
      <c r="BM49" s="232"/>
      <c r="BN49" s="232"/>
      <c r="BO49" s="232"/>
      <c r="BP49" s="232"/>
      <c r="BQ49" s="232"/>
      <c r="BR49" s="232"/>
      <c r="BS49" s="232"/>
    </row>
    <row r="50" spans="2:71" ht="18.75" x14ac:dyDescent="0.25">
      <c r="B50" s="232" t="s">
        <v>205</v>
      </c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32"/>
      <c r="S50" s="232"/>
      <c r="T50" s="232"/>
      <c r="U50" s="232"/>
      <c r="V50" s="232"/>
      <c r="W50" s="232"/>
      <c r="X50" s="232"/>
      <c r="Y50" s="232"/>
      <c r="Z50" s="232"/>
      <c r="AA50" s="232"/>
      <c r="AB50" s="232"/>
      <c r="AC50" s="232"/>
      <c r="AD50" s="232"/>
      <c r="AE50" s="232"/>
      <c r="AF50" s="232"/>
      <c r="AG50" s="232"/>
      <c r="AH50" s="232"/>
      <c r="AI50" s="232"/>
      <c r="AJ50" s="232"/>
      <c r="AK50" s="232"/>
      <c r="AL50" s="232"/>
      <c r="AM50" s="232"/>
      <c r="AN50" s="232"/>
      <c r="AO50" s="232"/>
      <c r="AP50" s="232"/>
      <c r="AQ50" s="232"/>
      <c r="AR50" s="232"/>
      <c r="AS50" s="232"/>
      <c r="AT50" s="232"/>
      <c r="AU50" s="232"/>
      <c r="AV50" s="232"/>
      <c r="AW50" s="232"/>
      <c r="AX50" s="232"/>
      <c r="AY50" s="232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  <c r="BJ50" s="232"/>
      <c r="BK50" s="232"/>
      <c r="BL50" s="232"/>
      <c r="BM50" s="232"/>
      <c r="BN50" s="232"/>
      <c r="BO50" s="232"/>
      <c r="BP50" s="232"/>
      <c r="BQ50" s="232"/>
      <c r="BR50" s="232"/>
      <c r="BS50" s="232"/>
    </row>
    <row r="51" spans="2:71" ht="18.75" x14ac:dyDescent="0.25">
      <c r="B51" s="233" t="s">
        <v>245</v>
      </c>
      <c r="C51" s="233"/>
      <c r="D51" s="233"/>
      <c r="E51" s="233"/>
      <c r="F51" s="233"/>
      <c r="G51" s="233"/>
      <c r="H51" s="233"/>
      <c r="I51" s="233"/>
      <c r="J51" s="233"/>
      <c r="K51" s="233"/>
      <c r="L51" s="233"/>
      <c r="M51" s="233"/>
      <c r="N51" s="233"/>
      <c r="O51" s="233"/>
      <c r="P51" s="233"/>
      <c r="Q51" s="233"/>
      <c r="R51" s="233"/>
      <c r="S51" s="233"/>
      <c r="T51" s="233"/>
      <c r="U51" s="233"/>
      <c r="V51" s="233"/>
      <c r="W51" s="233"/>
      <c r="X51" s="233"/>
      <c r="Y51" s="233"/>
      <c r="Z51" s="233"/>
      <c r="AA51" s="233"/>
      <c r="AB51" s="233"/>
      <c r="AC51" s="233"/>
      <c r="AD51" s="233"/>
      <c r="AE51" s="233"/>
      <c r="AF51" s="233"/>
      <c r="AG51" s="233"/>
      <c r="AH51" s="233"/>
      <c r="AI51" s="233"/>
      <c r="AJ51" s="233"/>
      <c r="AK51" s="233"/>
      <c r="AL51" s="233"/>
      <c r="AM51" s="233"/>
      <c r="AN51" s="233"/>
      <c r="AO51" s="233"/>
      <c r="AP51" s="233"/>
      <c r="AQ51" s="233"/>
      <c r="AR51" s="233"/>
      <c r="AS51" s="233"/>
      <c r="AT51" s="233"/>
      <c r="AU51" s="233"/>
      <c r="AV51" s="233"/>
      <c r="AW51" s="233"/>
      <c r="AX51" s="233"/>
      <c r="AY51" s="233"/>
      <c r="AZ51" s="233"/>
      <c r="BA51" s="233"/>
      <c r="BB51" s="233"/>
      <c r="BC51" s="233"/>
      <c r="BD51" s="233"/>
      <c r="BE51" s="233"/>
      <c r="BF51" s="233"/>
      <c r="BG51" s="233"/>
      <c r="BH51" s="233"/>
      <c r="BI51" s="233"/>
      <c r="BJ51" s="233"/>
      <c r="BK51" s="233"/>
      <c r="BL51" s="233"/>
      <c r="BM51" s="233"/>
      <c r="BN51" s="233"/>
      <c r="BO51" s="233"/>
      <c r="BP51" s="233"/>
      <c r="BQ51" s="233"/>
      <c r="BR51" s="233"/>
      <c r="BS51" s="233"/>
    </row>
    <row r="52" spans="2:71" ht="18.75" x14ac:dyDescent="0.25">
      <c r="B52" s="134"/>
      <c r="C52" s="134"/>
      <c r="D52" s="134"/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  <c r="AC52" s="134"/>
      <c r="AD52" s="134"/>
      <c r="AE52" s="134"/>
      <c r="AF52" s="134"/>
      <c r="AG52" s="134"/>
      <c r="AH52" s="134"/>
      <c r="AI52" s="134"/>
      <c r="AJ52" s="134"/>
      <c r="AK52" s="134"/>
      <c r="AL52" s="134"/>
      <c r="AM52" s="134"/>
      <c r="AN52" s="134"/>
      <c r="AO52" s="134"/>
      <c r="AP52" s="134"/>
      <c r="AQ52" s="134"/>
      <c r="AR52" s="134"/>
      <c r="AS52" s="134"/>
      <c r="AT52" s="134"/>
      <c r="AU52" s="134"/>
      <c r="AV52" s="134"/>
      <c r="AW52" s="134"/>
      <c r="AX52" s="134"/>
      <c r="AY52" s="134"/>
      <c r="AZ52" s="134"/>
      <c r="BA52" s="134"/>
      <c r="BB52" s="134"/>
      <c r="BC52" s="134"/>
      <c r="BD52" s="134"/>
      <c r="BE52" s="134"/>
      <c r="BF52" s="134"/>
      <c r="BG52" s="134"/>
      <c r="BH52" s="134"/>
      <c r="BI52" s="134"/>
      <c r="BJ52" s="134"/>
      <c r="BK52" s="134"/>
      <c r="BL52" s="134"/>
      <c r="BM52" s="134"/>
      <c r="BN52" s="134"/>
      <c r="BO52" s="134"/>
      <c r="BP52" s="134"/>
      <c r="BQ52" s="134"/>
      <c r="BR52" s="134"/>
      <c r="BS52" s="134"/>
    </row>
    <row r="53" spans="2:71" ht="18.75" x14ac:dyDescent="0.3"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</row>
    <row r="54" spans="2:71" ht="18.75" x14ac:dyDescent="0.3">
      <c r="B54" s="225"/>
      <c r="C54" s="225"/>
      <c r="D54" s="225"/>
      <c r="E54" s="225"/>
      <c r="F54" s="225"/>
      <c r="G54" s="225"/>
      <c r="H54" s="225"/>
      <c r="I54" s="225"/>
      <c r="J54" s="225"/>
      <c r="K54" s="225"/>
      <c r="L54" s="225"/>
      <c r="M54" s="225"/>
      <c r="N54" s="225"/>
      <c r="O54" s="225"/>
      <c r="P54" s="225"/>
      <c r="Q54" s="225"/>
      <c r="R54" s="225"/>
      <c r="S54" s="225"/>
      <c r="T54" s="225"/>
      <c r="U54" s="225"/>
      <c r="V54" s="225"/>
      <c r="W54" s="225"/>
      <c r="X54" s="225"/>
      <c r="Y54" s="225"/>
      <c r="Z54" s="225"/>
      <c r="AA54" s="225"/>
      <c r="AB54" s="225"/>
      <c r="AC54" s="225"/>
      <c r="AD54" s="225"/>
      <c r="AE54" s="225"/>
      <c r="AF54" s="225"/>
      <c r="AG54" s="225"/>
      <c r="AH54" s="225"/>
      <c r="AI54" s="225"/>
      <c r="AJ54" s="225"/>
      <c r="AK54" s="225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</row>
    <row r="55" spans="2:71" ht="18.75" x14ac:dyDescent="0.3">
      <c r="B55" s="225"/>
      <c r="C55" s="225"/>
      <c r="D55" s="225"/>
      <c r="E55" s="225"/>
      <c r="F55" s="225"/>
      <c r="G55" s="225"/>
      <c r="H55" s="225"/>
      <c r="I55" s="225"/>
      <c r="J55" s="225"/>
      <c r="K55" s="225"/>
      <c r="L55" s="225"/>
      <c r="M55" s="225"/>
      <c r="N55" s="225"/>
      <c r="O55" s="225"/>
      <c r="P55" s="225"/>
      <c r="Q55" s="225"/>
      <c r="R55" s="225"/>
      <c r="S55" s="225"/>
      <c r="T55" s="225"/>
      <c r="U55" s="225"/>
      <c r="V55" s="225"/>
      <c r="W55" s="225"/>
      <c r="X55" s="225"/>
      <c r="Y55" s="225"/>
      <c r="Z55" s="225"/>
      <c r="AA55" s="225"/>
      <c r="AB55" s="225"/>
      <c r="AC55" s="225"/>
      <c r="AD55" s="225"/>
      <c r="AE55" s="225"/>
      <c r="AF55" s="225"/>
      <c r="AG55" s="225"/>
      <c r="AH55" s="225"/>
      <c r="AI55" s="225"/>
      <c r="AJ55" s="225"/>
      <c r="AK55" s="225"/>
      <c r="AL55" s="24"/>
      <c r="AM55" s="24" t="s">
        <v>125</v>
      </c>
      <c r="AN55" s="24"/>
      <c r="AO55" s="24"/>
      <c r="AP55" s="24"/>
      <c r="AQ55" s="24"/>
      <c r="AR55" s="24"/>
      <c r="AS55" s="24"/>
      <c r="AT55" s="24"/>
      <c r="AU55" s="24"/>
      <c r="AV55" s="24"/>
      <c r="AW55" s="25"/>
      <c r="AX55" s="25"/>
      <c r="AY55" s="25"/>
      <c r="AZ55" s="25"/>
      <c r="BA55" s="225"/>
      <c r="BB55" s="225"/>
      <c r="BC55" s="225"/>
      <c r="BD55" s="225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</row>
    <row r="56" spans="2:71" ht="15.75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</row>
    <row r="57" spans="2:71" ht="15.75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</row>
    <row r="58" spans="2:71" ht="15.75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</row>
    <row r="59" spans="2:71" ht="15.75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</row>
    <row r="60" spans="2:71" ht="15.75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</row>
    <row r="61" spans="2:71" ht="15.75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</row>
    <row r="62" spans="2:71" ht="15.75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</row>
    <row r="63" spans="2:71" ht="15.75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</row>
    <row r="64" spans="2:71" ht="15.75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</row>
    <row r="65" spans="2:71" ht="15.75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</row>
    <row r="66" spans="2:71" ht="15.75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</row>
    <row r="67" spans="2:71" ht="15.75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</row>
  </sheetData>
  <protectedRanges>
    <protectedRange sqref="B24:BS26 B34:BS35" name="Intervalo2"/>
  </protectedRanges>
  <mergeCells count="69">
    <mergeCell ref="AA25:AO25"/>
    <mergeCell ref="AA26:AO26"/>
    <mergeCell ref="AP24:BD24"/>
    <mergeCell ref="AP25:BD25"/>
    <mergeCell ref="AP26:BD26"/>
    <mergeCell ref="AA35:AO35"/>
    <mergeCell ref="AP34:BD34"/>
    <mergeCell ref="AP35:BD35"/>
    <mergeCell ref="BE34:BS34"/>
    <mergeCell ref="BE35:BS35"/>
    <mergeCell ref="B55:AK55"/>
    <mergeCell ref="BA55:BD55"/>
    <mergeCell ref="BE55:BS55"/>
    <mergeCell ref="B38:BS38"/>
    <mergeCell ref="B39:L39"/>
    <mergeCell ref="M39:BS39"/>
    <mergeCell ref="B42:BS42"/>
    <mergeCell ref="B43:L43"/>
    <mergeCell ref="M43:BS43"/>
    <mergeCell ref="B46:BS46"/>
    <mergeCell ref="B49:BS49"/>
    <mergeCell ref="B50:BS50"/>
    <mergeCell ref="B51:BS51"/>
    <mergeCell ref="B54:AK54"/>
    <mergeCell ref="AY1:BS2"/>
    <mergeCell ref="B7:BS7"/>
    <mergeCell ref="B10:G10"/>
    <mergeCell ref="B13:BS13"/>
    <mergeCell ref="BH15:BS15"/>
    <mergeCell ref="B14:L15"/>
    <mergeCell ref="M14:X14"/>
    <mergeCell ref="Y14:AJ14"/>
    <mergeCell ref="AK14:AU14"/>
    <mergeCell ref="AV14:BG14"/>
    <mergeCell ref="BH14:BS14"/>
    <mergeCell ref="M15:X15"/>
    <mergeCell ref="Y15:AJ15"/>
    <mergeCell ref="H10:Z10"/>
    <mergeCell ref="AA10:BS10"/>
    <mergeCell ref="AK15:AU15"/>
    <mergeCell ref="AV15:BG15"/>
    <mergeCell ref="B16:L16"/>
    <mergeCell ref="M16:X16"/>
    <mergeCell ref="Y16:AJ16"/>
    <mergeCell ref="AK16:AU16"/>
    <mergeCell ref="AV16:BS16"/>
    <mergeCell ref="B19:BS19"/>
    <mergeCell ref="B20:L20"/>
    <mergeCell ref="M20:BS20"/>
    <mergeCell ref="B23:BS23"/>
    <mergeCell ref="B24:L24"/>
    <mergeCell ref="M24:Z24"/>
    <mergeCell ref="BE24:BS24"/>
    <mergeCell ref="M25:Z25"/>
    <mergeCell ref="M26:Z26"/>
    <mergeCell ref="AA24:AO24"/>
    <mergeCell ref="B35:L35"/>
    <mergeCell ref="B30:O30"/>
    <mergeCell ref="P30:BS30"/>
    <mergeCell ref="B33:BS33"/>
    <mergeCell ref="B25:L25"/>
    <mergeCell ref="B26:L26"/>
    <mergeCell ref="B34:L34"/>
    <mergeCell ref="B29:BS29"/>
    <mergeCell ref="BE25:BS25"/>
    <mergeCell ref="BE26:BS26"/>
    <mergeCell ref="M34:Z34"/>
    <mergeCell ref="M35:Z35"/>
    <mergeCell ref="AA34:AO34"/>
  </mergeCells>
  <pageMargins left="0.51181102362204722" right="0.51181102362204722" top="0.78740157480314965" bottom="0.78740157480314965" header="0.31496062992125984" footer="0.31496062992125984"/>
  <pageSetup paperSize="9" scale="75" fitToWidth="0" orientation="portrait" verticalDpi="300" r:id="rId1"/>
  <headerFooter>
    <oddHeader>&amp;C
&amp;G</oddHeader>
    <oddFooter>&amp;R&amp;D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BancoDeDados"/>
  <dimension ref="A1:BJ544"/>
  <sheetViews>
    <sheetView showGridLines="0" topLeftCell="AD2" zoomScale="55" zoomScaleNormal="55" workbookViewId="0">
      <selection activeCell="AK9" sqref="AK9"/>
    </sheetView>
  </sheetViews>
  <sheetFormatPr defaultRowHeight="15" x14ac:dyDescent="0.25"/>
  <cols>
    <col min="1" max="1" width="21.7109375" bestFit="1" customWidth="1"/>
    <col min="2" max="2" width="28.7109375" bestFit="1" customWidth="1"/>
    <col min="3" max="3" width="49.7109375" bestFit="1" customWidth="1"/>
    <col min="4" max="4" width="124.85546875" customWidth="1"/>
    <col min="5" max="5" width="125.28515625" customWidth="1"/>
    <col min="6" max="6" width="150" bestFit="1" customWidth="1"/>
    <col min="7" max="7" width="113.85546875" bestFit="1" customWidth="1"/>
    <col min="8" max="8" width="119.5703125" bestFit="1" customWidth="1"/>
    <col min="9" max="9" width="118.85546875" bestFit="1" customWidth="1"/>
    <col min="10" max="10" width="120.7109375" bestFit="1" customWidth="1"/>
    <col min="11" max="11" width="120.7109375" customWidth="1"/>
    <col min="12" max="12" width="100" bestFit="1" customWidth="1"/>
    <col min="13" max="13" width="15.7109375" customWidth="1"/>
    <col min="14" max="14" width="18" bestFit="1" customWidth="1"/>
    <col min="15" max="15" width="18.85546875" bestFit="1" customWidth="1"/>
    <col min="16" max="16" width="15.7109375" bestFit="1" customWidth="1"/>
    <col min="17" max="17" width="18" bestFit="1" customWidth="1"/>
    <col min="18" max="18" width="18.85546875" bestFit="1" customWidth="1"/>
    <col min="19" max="19" width="15.7109375" bestFit="1" customWidth="1"/>
    <col min="20" max="20" width="18" customWidth="1"/>
    <col min="21" max="21" width="18.85546875" bestFit="1" customWidth="1"/>
    <col min="22" max="22" width="15.7109375" bestFit="1" customWidth="1"/>
    <col min="23" max="23" width="18" customWidth="1"/>
    <col min="24" max="24" width="18.85546875" bestFit="1" customWidth="1"/>
    <col min="25" max="25" width="15.7109375" bestFit="1" customWidth="1"/>
    <col min="26" max="26" width="18" customWidth="1"/>
    <col min="27" max="27" width="18.85546875" customWidth="1"/>
    <col min="28" max="28" width="15.7109375" customWidth="1"/>
    <col min="29" max="29" width="18" customWidth="1"/>
    <col min="30" max="30" width="18.85546875" customWidth="1"/>
    <col min="31" max="31" width="14.5703125" bestFit="1" customWidth="1"/>
    <col min="32" max="32" width="17.42578125" bestFit="1" customWidth="1"/>
    <col min="33" max="33" width="17.85546875" bestFit="1" customWidth="1"/>
    <col min="34" max="34" width="13.7109375" bestFit="1" customWidth="1"/>
    <col min="35" max="35" width="13.7109375" customWidth="1"/>
    <col min="36" max="36" width="25.28515625" bestFit="1" customWidth="1"/>
    <col min="37" max="37" width="46.85546875" bestFit="1" customWidth="1"/>
    <col min="38" max="38" width="20.85546875" customWidth="1"/>
    <col min="39" max="39" width="25.28515625" customWidth="1"/>
    <col min="40" max="40" width="15.42578125" bestFit="1" customWidth="1"/>
    <col min="41" max="41" width="18" bestFit="1" customWidth="1"/>
    <col min="42" max="42" width="56" bestFit="1" customWidth="1"/>
    <col min="43" max="44" width="104.42578125" bestFit="1" customWidth="1"/>
    <col min="45" max="45" width="104.42578125" customWidth="1"/>
    <col min="46" max="46" width="39.7109375" bestFit="1" customWidth="1"/>
    <col min="47" max="47" width="39.7109375" customWidth="1"/>
    <col min="48" max="60" width="60.7109375" customWidth="1"/>
    <col min="62" max="62" width="60.7109375" customWidth="1"/>
    <col min="64" max="64" width="14" customWidth="1"/>
    <col min="65" max="65" width="15" customWidth="1"/>
    <col min="66" max="66" width="47.140625" bestFit="1" customWidth="1"/>
    <col min="67" max="67" width="35.85546875" bestFit="1" customWidth="1"/>
    <col min="68" max="69" width="104.42578125" bestFit="1" customWidth="1"/>
    <col min="70" max="70" width="39.7109375" bestFit="1" customWidth="1"/>
  </cols>
  <sheetData>
    <row r="1" spans="1:62" ht="15.75" hidden="1" thickBot="1" x14ac:dyDescent="0.3"/>
    <row r="2" spans="1:62" ht="33" customHeight="1" thickBot="1" x14ac:dyDescent="0.3">
      <c r="A2" s="53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5"/>
      <c r="AF2" s="55"/>
      <c r="AG2" s="55"/>
      <c r="AH2" s="56"/>
      <c r="AI2" s="57"/>
      <c r="AJ2" s="58"/>
      <c r="AK2" s="258" t="s">
        <v>287</v>
      </c>
      <c r="AL2" s="259"/>
      <c r="AM2" s="259"/>
      <c r="AN2" s="260"/>
      <c r="AP2" s="79" t="s">
        <v>41</v>
      </c>
      <c r="AQ2" s="50" t="s">
        <v>100</v>
      </c>
      <c r="AR2" s="51" t="s">
        <v>123</v>
      </c>
      <c r="AS2" s="157"/>
      <c r="AT2" s="240" t="s">
        <v>302</v>
      </c>
      <c r="AU2" s="241"/>
      <c r="AV2" s="241"/>
      <c r="AW2" s="241"/>
      <c r="AY2" s="244" t="s">
        <v>299</v>
      </c>
      <c r="AZ2" s="244"/>
      <c r="BF2" s="151" t="s">
        <v>298</v>
      </c>
      <c r="BG2" s="157"/>
      <c r="BH2" s="157"/>
      <c r="BJ2" s="151" t="s">
        <v>297</v>
      </c>
    </row>
    <row r="3" spans="1:62" ht="19.5" x14ac:dyDescent="0.25">
      <c r="A3" s="59"/>
      <c r="B3" s="60"/>
      <c r="C3" s="60"/>
      <c r="D3" s="60"/>
      <c r="E3" s="60"/>
      <c r="F3" s="60"/>
      <c r="G3" s="60"/>
      <c r="H3" s="60"/>
      <c r="I3" s="60"/>
      <c r="J3" s="60"/>
      <c r="K3" s="60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2"/>
      <c r="AI3" s="62"/>
      <c r="AJ3" s="63"/>
      <c r="AK3" s="258"/>
      <c r="AL3" s="259"/>
      <c r="AM3" s="259"/>
      <c r="AN3" s="260"/>
      <c r="AP3" s="27" t="s">
        <v>22</v>
      </c>
      <c r="AQ3" s="28" t="s">
        <v>168</v>
      </c>
      <c r="AR3" s="29" t="s">
        <v>169</v>
      </c>
      <c r="AS3" s="11"/>
      <c r="AT3" s="242"/>
      <c r="AU3" s="243"/>
      <c r="AV3" s="243"/>
      <c r="AW3" s="243"/>
      <c r="AY3" s="244"/>
      <c r="AZ3" s="244"/>
      <c r="BF3" s="37" t="s">
        <v>41</v>
      </c>
      <c r="BG3" s="16"/>
      <c r="BH3" s="16"/>
      <c r="BJ3" s="36" t="str">
        <f t="shared" ref="BJ3:BJ45" si="0">A9</f>
        <v>Shot S-70</v>
      </c>
    </row>
    <row r="4" spans="1:62" ht="19.5" customHeight="1" x14ac:dyDescent="0.25">
      <c r="A4" s="59"/>
      <c r="B4" s="60"/>
      <c r="C4" s="60"/>
      <c r="D4" s="60"/>
      <c r="E4" s="60"/>
      <c r="F4" s="60"/>
      <c r="G4" s="60"/>
      <c r="H4" s="60"/>
      <c r="I4" s="60"/>
      <c r="J4" s="60"/>
      <c r="K4" s="60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4"/>
      <c r="AI4" s="64"/>
      <c r="AJ4" s="65"/>
      <c r="AK4" s="258"/>
      <c r="AL4" s="259"/>
      <c r="AM4" s="259"/>
      <c r="AN4" s="260"/>
      <c r="AP4" s="30" t="s">
        <v>124</v>
      </c>
      <c r="AQ4" s="31" t="s">
        <v>1</v>
      </c>
      <c r="AR4" s="32" t="s">
        <v>1</v>
      </c>
      <c r="AS4" s="11"/>
      <c r="AT4" s="141"/>
      <c r="AU4" s="152"/>
      <c r="AV4" s="152"/>
      <c r="AW4" s="152"/>
      <c r="AY4" s="155" t="s">
        <v>300</v>
      </c>
      <c r="AZ4" s="154" t="s">
        <v>301</v>
      </c>
      <c r="BF4" s="37" t="s">
        <v>100</v>
      </c>
      <c r="BG4" s="16"/>
      <c r="BH4" s="16"/>
      <c r="BJ4" s="36" t="str">
        <f t="shared" si="0"/>
        <v>Shot S-110</v>
      </c>
    </row>
    <row r="5" spans="1:62" ht="19.5" x14ac:dyDescent="0.3">
      <c r="A5" s="66" t="s">
        <v>25</v>
      </c>
      <c r="B5" s="60" t="s">
        <v>26</v>
      </c>
      <c r="C5" s="60" t="s">
        <v>27</v>
      </c>
      <c r="D5" s="60" t="s">
        <v>34</v>
      </c>
      <c r="E5" s="60" t="s">
        <v>34</v>
      </c>
      <c r="F5" s="60" t="s">
        <v>34</v>
      </c>
      <c r="G5" s="60" t="s">
        <v>34</v>
      </c>
      <c r="H5" s="60" t="s">
        <v>34</v>
      </c>
      <c r="I5" s="60" t="s">
        <v>34</v>
      </c>
      <c r="J5" s="60" t="s">
        <v>34</v>
      </c>
      <c r="K5" s="60"/>
      <c r="L5" s="67" t="s">
        <v>29</v>
      </c>
      <c r="M5" s="67"/>
      <c r="N5" s="68" t="s">
        <v>30</v>
      </c>
      <c r="O5" s="68"/>
      <c r="P5" s="68"/>
      <c r="Q5" s="68"/>
      <c r="R5" s="68"/>
      <c r="S5" s="68"/>
      <c r="T5" s="68"/>
      <c r="U5" s="68"/>
      <c r="V5" s="68"/>
      <c r="W5" s="69"/>
      <c r="X5" s="69"/>
      <c r="Y5" s="69"/>
      <c r="Z5" s="69"/>
      <c r="AA5" s="69"/>
      <c r="AB5" s="70"/>
      <c r="AC5" s="70"/>
      <c r="AD5" s="68"/>
      <c r="AE5" s="68"/>
      <c r="AF5" s="68"/>
      <c r="AG5" s="68"/>
      <c r="AH5" s="60" t="s">
        <v>16</v>
      </c>
      <c r="AI5" s="64" t="s">
        <v>138</v>
      </c>
      <c r="AJ5" s="71" t="s">
        <v>130</v>
      </c>
      <c r="AK5" s="258"/>
      <c r="AL5" s="259"/>
      <c r="AM5" s="259"/>
      <c r="AN5" s="260"/>
      <c r="AO5" s="9"/>
      <c r="AP5" s="30" t="s">
        <v>243</v>
      </c>
      <c r="AQ5" s="31" t="s">
        <v>244</v>
      </c>
      <c r="AR5" s="32" t="s">
        <v>282</v>
      </c>
      <c r="AS5" s="11"/>
      <c r="AT5" s="153" t="s">
        <v>294</v>
      </c>
      <c r="AU5" s="153" t="s">
        <v>207</v>
      </c>
      <c r="AV5" s="153" t="s">
        <v>208</v>
      </c>
      <c r="AW5" s="153"/>
      <c r="AY5" s="155" t="s">
        <v>266</v>
      </c>
      <c r="AZ5" s="141">
        <v>325</v>
      </c>
      <c r="BF5" s="37" t="s">
        <v>123</v>
      </c>
      <c r="BG5" s="16"/>
      <c r="BH5" s="16"/>
      <c r="BJ5" s="36" t="str">
        <f t="shared" si="0"/>
        <v>Shot S-170</v>
      </c>
    </row>
    <row r="6" spans="1:62" ht="19.5" x14ac:dyDescent="0.25">
      <c r="A6" s="59"/>
      <c r="B6" s="60"/>
      <c r="C6" s="60"/>
      <c r="D6" s="60"/>
      <c r="E6" s="60"/>
      <c r="F6" s="60"/>
      <c r="G6" s="60"/>
      <c r="H6" s="60"/>
      <c r="I6" s="60"/>
      <c r="J6" s="60"/>
      <c r="K6" s="60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4"/>
      <c r="AI6" s="64"/>
      <c r="AJ6" s="65"/>
      <c r="AK6" s="258"/>
      <c r="AL6" s="259"/>
      <c r="AM6" s="259"/>
      <c r="AN6" s="260"/>
      <c r="AP6" s="30" t="s">
        <v>5</v>
      </c>
      <c r="AQ6" s="31" t="s">
        <v>170</v>
      </c>
      <c r="AR6" s="32" t="s">
        <v>5</v>
      </c>
      <c r="AS6" s="11"/>
      <c r="AT6" s="153" t="s">
        <v>24</v>
      </c>
      <c r="AU6" s="153" t="s">
        <v>209</v>
      </c>
      <c r="AV6" s="153" t="s">
        <v>210</v>
      </c>
      <c r="AW6" s="141" t="s">
        <v>126</v>
      </c>
      <c r="AY6" s="155" t="s">
        <v>265</v>
      </c>
      <c r="AZ6" s="141">
        <v>200</v>
      </c>
      <c r="BJ6" s="36" t="str">
        <f t="shared" si="0"/>
        <v>Shot S-230</v>
      </c>
    </row>
    <row r="7" spans="1:62" ht="19.5" x14ac:dyDescent="0.3">
      <c r="A7" s="59"/>
      <c r="B7" s="60"/>
      <c r="C7" s="60"/>
      <c r="D7" s="60"/>
      <c r="E7" s="60"/>
      <c r="F7" s="60"/>
      <c r="G7" s="60"/>
      <c r="H7" s="60"/>
      <c r="I7" s="60"/>
      <c r="J7" s="60"/>
      <c r="K7" s="60"/>
      <c r="L7" s="61"/>
      <c r="M7" s="61"/>
      <c r="N7" s="72"/>
      <c r="O7" s="73"/>
      <c r="P7" s="73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  <c r="AI7" s="64"/>
      <c r="AJ7" s="65"/>
      <c r="AK7" s="261"/>
      <c r="AL7" s="262"/>
      <c r="AM7" s="262"/>
      <c r="AN7" s="263"/>
      <c r="AP7" s="30" t="s">
        <v>6</v>
      </c>
      <c r="AQ7" s="31" t="s">
        <v>172</v>
      </c>
      <c r="AR7" s="32" t="s">
        <v>171</v>
      </c>
      <c r="AS7" s="11"/>
      <c r="AT7" s="141" t="s">
        <v>28</v>
      </c>
      <c r="AU7" s="153" t="s">
        <v>211</v>
      </c>
      <c r="AV7" s="153" t="s">
        <v>211</v>
      </c>
      <c r="AW7" s="141" t="s">
        <v>127</v>
      </c>
      <c r="AY7" s="155" t="s">
        <v>262</v>
      </c>
      <c r="AZ7" s="141">
        <v>120</v>
      </c>
      <c r="BJ7" s="36" t="str">
        <f t="shared" si="0"/>
        <v>Shot S-280</v>
      </c>
    </row>
    <row r="8" spans="1:62" ht="19.5" x14ac:dyDescent="0.25">
      <c r="A8" s="75" t="s">
        <v>31</v>
      </c>
      <c r="B8" s="76" t="s">
        <v>32</v>
      </c>
      <c r="C8" s="76" t="s">
        <v>33</v>
      </c>
      <c r="D8" s="76" t="s">
        <v>23</v>
      </c>
      <c r="E8" s="76" t="s">
        <v>24</v>
      </c>
      <c r="F8" s="76" t="s">
        <v>28</v>
      </c>
      <c r="G8" s="76" t="s">
        <v>16</v>
      </c>
      <c r="H8" s="76" t="s">
        <v>129</v>
      </c>
      <c r="I8" s="76" t="s">
        <v>130</v>
      </c>
      <c r="J8" s="76" t="s">
        <v>131</v>
      </c>
      <c r="K8" s="76" t="s">
        <v>240</v>
      </c>
      <c r="L8" s="76" t="s">
        <v>35</v>
      </c>
      <c r="M8" s="76" t="s">
        <v>36</v>
      </c>
      <c r="N8" s="77" t="s">
        <v>37</v>
      </c>
      <c r="O8" s="77" t="s">
        <v>38</v>
      </c>
      <c r="P8" s="76" t="s">
        <v>36</v>
      </c>
      <c r="Q8" s="77" t="s">
        <v>37</v>
      </c>
      <c r="R8" s="77" t="s">
        <v>38</v>
      </c>
      <c r="S8" s="76" t="s">
        <v>36</v>
      </c>
      <c r="T8" s="77" t="s">
        <v>37</v>
      </c>
      <c r="U8" s="77" t="s">
        <v>38</v>
      </c>
      <c r="V8" s="76" t="s">
        <v>36</v>
      </c>
      <c r="W8" s="77" t="s">
        <v>37</v>
      </c>
      <c r="X8" s="77" t="s">
        <v>38</v>
      </c>
      <c r="Y8" s="76" t="s">
        <v>36</v>
      </c>
      <c r="Z8" s="77" t="s">
        <v>37</v>
      </c>
      <c r="AA8" s="77" t="s">
        <v>38</v>
      </c>
      <c r="AB8" s="77" t="s">
        <v>36</v>
      </c>
      <c r="AC8" s="77" t="s">
        <v>37</v>
      </c>
      <c r="AD8" s="77" t="s">
        <v>38</v>
      </c>
      <c r="AE8" s="77" t="s">
        <v>36</v>
      </c>
      <c r="AF8" s="77" t="s">
        <v>37</v>
      </c>
      <c r="AG8" s="77" t="s">
        <v>38</v>
      </c>
      <c r="AH8" s="77" t="s">
        <v>39</v>
      </c>
      <c r="AI8" s="77" t="s">
        <v>39</v>
      </c>
      <c r="AJ8" s="78" t="s">
        <v>38</v>
      </c>
      <c r="AK8" s="144" t="s">
        <v>25</v>
      </c>
      <c r="AL8" s="139" t="s">
        <v>288</v>
      </c>
      <c r="AM8" s="139" t="s">
        <v>289</v>
      </c>
      <c r="AN8" s="139" t="s">
        <v>33</v>
      </c>
      <c r="AP8" s="30" t="s">
        <v>133</v>
      </c>
      <c r="AQ8" s="31" t="s">
        <v>173</v>
      </c>
      <c r="AR8" s="32" t="s">
        <v>174</v>
      </c>
      <c r="AS8" s="11"/>
      <c r="AT8" s="141" t="s">
        <v>16</v>
      </c>
      <c r="AU8" s="153" t="s">
        <v>212</v>
      </c>
      <c r="AV8" s="153" t="s">
        <v>213</v>
      </c>
      <c r="AW8" s="141" t="s">
        <v>128</v>
      </c>
      <c r="AY8" s="155" t="s">
        <v>261</v>
      </c>
      <c r="AZ8" s="141">
        <v>80</v>
      </c>
      <c r="BJ8" s="36" t="str">
        <f t="shared" si="0"/>
        <v>Shot S-330</v>
      </c>
    </row>
    <row r="9" spans="1:62" ht="15.75" x14ac:dyDescent="0.25">
      <c r="A9" s="36" t="s">
        <v>40</v>
      </c>
      <c r="B9" s="37" t="s">
        <v>41</v>
      </c>
      <c r="C9" s="37" t="str">
        <f>CONCATENATE(A9," ",B9)</f>
        <v>Shot S-70 LINGUA PORTUGUESA</v>
      </c>
      <c r="D9" s="37" t="s">
        <v>207</v>
      </c>
      <c r="E9" s="37" t="s">
        <v>209</v>
      </c>
      <c r="F9" s="37" t="s">
        <v>211</v>
      </c>
      <c r="G9" s="37" t="s">
        <v>212</v>
      </c>
      <c r="H9" s="37" t="s">
        <v>214</v>
      </c>
      <c r="I9" s="37" t="s">
        <v>215</v>
      </c>
      <c r="J9" s="37" t="s">
        <v>217</v>
      </c>
      <c r="K9" s="37" t="s">
        <v>205</v>
      </c>
      <c r="L9" s="37" t="s">
        <v>233</v>
      </c>
      <c r="M9" s="38">
        <v>40</v>
      </c>
      <c r="N9" s="39" t="s">
        <v>246</v>
      </c>
      <c r="O9" s="40" t="s">
        <v>156</v>
      </c>
      <c r="P9" s="38">
        <v>45</v>
      </c>
      <c r="Q9" s="41" t="s">
        <v>263</v>
      </c>
      <c r="R9" s="42" t="s">
        <v>101</v>
      </c>
      <c r="S9" s="38">
        <v>80</v>
      </c>
      <c r="T9" s="39" t="s">
        <v>261</v>
      </c>
      <c r="U9" s="42" t="s">
        <v>43</v>
      </c>
      <c r="V9" s="38">
        <v>120</v>
      </c>
      <c r="W9" s="39" t="s">
        <v>262</v>
      </c>
      <c r="X9" s="42" t="s">
        <v>102</v>
      </c>
      <c r="Y9" s="43"/>
      <c r="Z9" s="44"/>
      <c r="AA9" s="44"/>
      <c r="AB9" s="44"/>
      <c r="AC9" s="44"/>
      <c r="AD9" s="44"/>
      <c r="AE9" s="44"/>
      <c r="AF9" s="44"/>
      <c r="AG9" s="44"/>
      <c r="AH9" s="37" t="s">
        <v>292</v>
      </c>
      <c r="AI9" s="49" t="s">
        <v>48</v>
      </c>
      <c r="AJ9" s="52" t="s">
        <v>241</v>
      </c>
      <c r="AK9" s="145" t="str">
        <f>C9</f>
        <v>Shot S-70 LINGUA PORTUGUESA</v>
      </c>
      <c r="AL9" s="140" t="s">
        <v>290</v>
      </c>
      <c r="AM9" s="141" t="str">
        <f t="shared" ref="AM9:AM16" si="1">IF(COUNTBLANK(M9:AG9)=15,"2 Malhas",IF(COUNTBLANK(M9:AG9)=12,"3 Malhas",IF(COUNTBLANK(M9:AG9)=9,"4 Malhas",IF(COUNTBLANK(M9:AG9)=6,"5 Malhas",IF(COUNTBLANK(M9:AG9)=3,"6 Malhas",IF(COUNTBLANK(M9:AG9)=0,"7 Malhas",))))))</f>
        <v>4 Malhas</v>
      </c>
      <c r="AN9" s="141" t="str">
        <f>CONCATENATE(AL9," ",AM9)</f>
        <v>Shot 4 Malhas</v>
      </c>
      <c r="AO9" s="10"/>
      <c r="AP9" s="30" t="s">
        <v>7</v>
      </c>
      <c r="AQ9" s="31" t="s">
        <v>175</v>
      </c>
      <c r="AR9" s="32" t="s">
        <v>7</v>
      </c>
      <c r="AS9" s="11"/>
      <c r="AT9" s="141" t="s">
        <v>129</v>
      </c>
      <c r="AU9" s="153" t="s">
        <v>214</v>
      </c>
      <c r="AV9" s="153" t="s">
        <v>296</v>
      </c>
      <c r="AW9" s="141"/>
      <c r="AY9" s="155" t="s">
        <v>260</v>
      </c>
      <c r="AZ9" s="141">
        <v>50</v>
      </c>
      <c r="BJ9" s="36" t="str">
        <f t="shared" si="0"/>
        <v>Shot S-390</v>
      </c>
    </row>
    <row r="10" spans="1:62" ht="15.75" x14ac:dyDescent="0.25">
      <c r="A10" s="36" t="s">
        <v>44</v>
      </c>
      <c r="B10" s="37" t="s">
        <v>41</v>
      </c>
      <c r="C10" s="37" t="str">
        <f t="shared" ref="C10:C39" si="2">CONCATENATE(A10," ",B10)</f>
        <v>Shot S-110 LINGUA PORTUGUESA</v>
      </c>
      <c r="D10" s="37" t="s">
        <v>207</v>
      </c>
      <c r="E10" s="37" t="s">
        <v>209</v>
      </c>
      <c r="F10" s="37" t="s">
        <v>211</v>
      </c>
      <c r="G10" s="37" t="s">
        <v>212</v>
      </c>
      <c r="H10" s="37" t="s">
        <v>214</v>
      </c>
      <c r="I10" s="37" t="s">
        <v>215</v>
      </c>
      <c r="J10" s="37" t="s">
        <v>217</v>
      </c>
      <c r="K10" s="37" t="s">
        <v>205</v>
      </c>
      <c r="L10" s="37" t="s">
        <v>233</v>
      </c>
      <c r="M10" s="38">
        <v>30</v>
      </c>
      <c r="N10" s="38" t="s">
        <v>247</v>
      </c>
      <c r="O10" s="40" t="s">
        <v>156</v>
      </c>
      <c r="P10" s="38">
        <v>35</v>
      </c>
      <c r="Q10" s="45" t="s">
        <v>264</v>
      </c>
      <c r="R10" s="42" t="s">
        <v>101</v>
      </c>
      <c r="S10" s="38">
        <v>50</v>
      </c>
      <c r="T10" s="45" t="s">
        <v>260</v>
      </c>
      <c r="U10" s="42" t="s">
        <v>43</v>
      </c>
      <c r="V10" s="38">
        <v>80</v>
      </c>
      <c r="W10" s="45" t="s">
        <v>261</v>
      </c>
      <c r="X10" s="42" t="s">
        <v>102</v>
      </c>
      <c r="Y10" s="43"/>
      <c r="Z10" s="44"/>
      <c r="AA10" s="44"/>
      <c r="AB10" s="44"/>
      <c r="AC10" s="44"/>
      <c r="AD10" s="44"/>
      <c r="AE10" s="44"/>
      <c r="AF10" s="44"/>
      <c r="AG10" s="44"/>
      <c r="AH10" s="37" t="s">
        <v>292</v>
      </c>
      <c r="AI10" s="49" t="s">
        <v>48</v>
      </c>
      <c r="AJ10" s="52" t="s">
        <v>241</v>
      </c>
      <c r="AK10" s="145" t="str">
        <f t="shared" ref="AK10:AK35" si="3">C10</f>
        <v>Shot S-110 LINGUA PORTUGUESA</v>
      </c>
      <c r="AL10" s="140" t="s">
        <v>290</v>
      </c>
      <c r="AM10" s="141" t="str">
        <f t="shared" si="1"/>
        <v>4 Malhas</v>
      </c>
      <c r="AN10" s="141" t="str">
        <f t="shared" ref="AN10:AN35" si="4">CONCATENATE(AL10," ",AM10)</f>
        <v>Shot 4 Malhas</v>
      </c>
      <c r="AO10" s="10"/>
      <c r="AP10" s="30" t="s">
        <v>8</v>
      </c>
      <c r="AQ10" s="31" t="s">
        <v>176</v>
      </c>
      <c r="AR10" s="32" t="s">
        <v>177</v>
      </c>
      <c r="AS10" s="11"/>
      <c r="AT10" s="141" t="s">
        <v>130</v>
      </c>
      <c r="AU10" s="153" t="s">
        <v>215</v>
      </c>
      <c r="AV10" s="153" t="s">
        <v>216</v>
      </c>
      <c r="AW10" s="141"/>
      <c r="AY10" s="155" t="s">
        <v>263</v>
      </c>
      <c r="AZ10" s="141">
        <v>45</v>
      </c>
      <c r="BJ10" s="36" t="str">
        <f t="shared" si="0"/>
        <v>Shot S-460</v>
      </c>
    </row>
    <row r="11" spans="1:62" ht="15.75" x14ac:dyDescent="0.25">
      <c r="A11" s="36" t="s">
        <v>45</v>
      </c>
      <c r="B11" s="37" t="s">
        <v>41</v>
      </c>
      <c r="C11" s="37" t="str">
        <f t="shared" si="2"/>
        <v>Shot S-170 LINGUA PORTUGUESA</v>
      </c>
      <c r="D11" s="37" t="s">
        <v>207</v>
      </c>
      <c r="E11" s="37" t="s">
        <v>209</v>
      </c>
      <c r="F11" s="37" t="s">
        <v>211</v>
      </c>
      <c r="G11" s="37" t="s">
        <v>212</v>
      </c>
      <c r="H11" s="37" t="s">
        <v>214</v>
      </c>
      <c r="I11" s="37" t="s">
        <v>215</v>
      </c>
      <c r="J11" s="37" t="s">
        <v>217</v>
      </c>
      <c r="K11" s="37" t="s">
        <v>205</v>
      </c>
      <c r="L11" s="37" t="s">
        <v>233</v>
      </c>
      <c r="M11" s="38">
        <v>20</v>
      </c>
      <c r="N11" s="45" t="s">
        <v>248</v>
      </c>
      <c r="O11" s="40" t="s">
        <v>156</v>
      </c>
      <c r="P11" s="38">
        <v>25</v>
      </c>
      <c r="Q11" s="45" t="s">
        <v>259</v>
      </c>
      <c r="R11" s="42" t="s">
        <v>101</v>
      </c>
      <c r="S11" s="38">
        <v>40</v>
      </c>
      <c r="T11" s="45" t="s">
        <v>246</v>
      </c>
      <c r="U11" s="37" t="s">
        <v>103</v>
      </c>
      <c r="V11" s="38">
        <v>45</v>
      </c>
      <c r="W11" s="45" t="s">
        <v>263</v>
      </c>
      <c r="X11" s="37" t="s">
        <v>104</v>
      </c>
      <c r="Y11" s="43"/>
      <c r="Z11" s="44"/>
      <c r="AA11" s="44"/>
      <c r="AB11" s="44"/>
      <c r="AC11" s="44"/>
      <c r="AD11" s="44"/>
      <c r="AE11" s="44"/>
      <c r="AF11" s="44"/>
      <c r="AG11" s="44"/>
      <c r="AH11" s="37" t="s">
        <v>292</v>
      </c>
      <c r="AI11" s="49" t="s">
        <v>48</v>
      </c>
      <c r="AJ11" s="52" t="s">
        <v>241</v>
      </c>
      <c r="AK11" s="145" t="str">
        <f t="shared" si="3"/>
        <v>Shot S-170 LINGUA PORTUGUESA</v>
      </c>
      <c r="AL11" s="140" t="s">
        <v>290</v>
      </c>
      <c r="AM11" s="141" t="str">
        <f t="shared" si="1"/>
        <v>4 Malhas</v>
      </c>
      <c r="AN11" s="141" t="str">
        <f t="shared" si="4"/>
        <v>Shot 4 Malhas</v>
      </c>
      <c r="AO11" s="10"/>
      <c r="AP11" s="30" t="s">
        <v>2</v>
      </c>
      <c r="AQ11" s="31" t="s">
        <v>179</v>
      </c>
      <c r="AR11" s="32" t="s">
        <v>178</v>
      </c>
      <c r="AS11" s="11"/>
      <c r="AT11" s="141" t="s">
        <v>295</v>
      </c>
      <c r="AU11" s="153" t="s">
        <v>217</v>
      </c>
      <c r="AV11" s="153" t="s">
        <v>218</v>
      </c>
      <c r="AW11" s="141"/>
      <c r="AY11" s="155" t="s">
        <v>246</v>
      </c>
      <c r="AZ11" s="141">
        <v>40</v>
      </c>
      <c r="BJ11" s="36" t="str">
        <f t="shared" si="0"/>
        <v>Shot S-550</v>
      </c>
    </row>
    <row r="12" spans="1:62" ht="15.75" x14ac:dyDescent="0.25">
      <c r="A12" s="36" t="s">
        <v>46</v>
      </c>
      <c r="B12" s="37" t="s">
        <v>41</v>
      </c>
      <c r="C12" s="37" t="str">
        <f t="shared" si="2"/>
        <v>Shot S-230 LINGUA PORTUGUESA</v>
      </c>
      <c r="D12" s="37" t="s">
        <v>207</v>
      </c>
      <c r="E12" s="37" t="s">
        <v>209</v>
      </c>
      <c r="F12" s="37" t="s">
        <v>211</v>
      </c>
      <c r="G12" s="37" t="s">
        <v>212</v>
      </c>
      <c r="H12" s="37" t="s">
        <v>214</v>
      </c>
      <c r="I12" s="37" t="s">
        <v>215</v>
      </c>
      <c r="J12" s="37" t="s">
        <v>217</v>
      </c>
      <c r="K12" s="37" t="s">
        <v>205</v>
      </c>
      <c r="L12" s="37" t="s">
        <v>233</v>
      </c>
      <c r="M12" s="38">
        <v>18</v>
      </c>
      <c r="N12" s="124" t="s">
        <v>249</v>
      </c>
      <c r="O12" s="40" t="s">
        <v>156</v>
      </c>
      <c r="P12" s="38">
        <v>20</v>
      </c>
      <c r="Q12" s="45" t="s">
        <v>248</v>
      </c>
      <c r="R12" s="42" t="s">
        <v>101</v>
      </c>
      <c r="S12" s="38">
        <v>30</v>
      </c>
      <c r="T12" s="45" t="s">
        <v>247</v>
      </c>
      <c r="U12" s="37" t="s">
        <v>103</v>
      </c>
      <c r="V12" s="38">
        <v>35</v>
      </c>
      <c r="W12" s="45" t="s">
        <v>264</v>
      </c>
      <c r="X12" s="37" t="s">
        <v>104</v>
      </c>
      <c r="Y12" s="43"/>
      <c r="Z12" s="44"/>
      <c r="AA12" s="44"/>
      <c r="AB12" s="44"/>
      <c r="AC12" s="44"/>
      <c r="AD12" s="44"/>
      <c r="AE12" s="44"/>
      <c r="AF12" s="44"/>
      <c r="AG12" s="44"/>
      <c r="AH12" s="37" t="s">
        <v>292</v>
      </c>
      <c r="AI12" s="49" t="s">
        <v>48</v>
      </c>
      <c r="AJ12" s="52" t="s">
        <v>241</v>
      </c>
      <c r="AK12" s="145" t="str">
        <f t="shared" si="3"/>
        <v>Shot S-230 LINGUA PORTUGUESA</v>
      </c>
      <c r="AL12" s="140" t="s">
        <v>290</v>
      </c>
      <c r="AM12" s="141" t="str">
        <f t="shared" si="1"/>
        <v>4 Malhas</v>
      </c>
      <c r="AN12" s="141" t="str">
        <f t="shared" si="4"/>
        <v>Shot 4 Malhas</v>
      </c>
      <c r="AO12" s="10"/>
      <c r="AP12" s="30" t="s">
        <v>21</v>
      </c>
      <c r="AQ12" s="31" t="s">
        <v>181</v>
      </c>
      <c r="AR12" s="32" t="s">
        <v>182</v>
      </c>
      <c r="AS12" s="11"/>
      <c r="AT12" s="141" t="s">
        <v>240</v>
      </c>
      <c r="AU12" s="153" t="s">
        <v>205</v>
      </c>
      <c r="AV12" s="153" t="s">
        <v>239</v>
      </c>
      <c r="AW12" s="141"/>
      <c r="AY12" s="155" t="s">
        <v>264</v>
      </c>
      <c r="AZ12" s="141">
        <v>35</v>
      </c>
      <c r="BJ12" s="36" t="str">
        <f t="shared" si="0"/>
        <v>Shot S-660</v>
      </c>
    </row>
    <row r="13" spans="1:62" ht="15.75" x14ac:dyDescent="0.25">
      <c r="A13" s="36" t="s">
        <v>47</v>
      </c>
      <c r="B13" s="37" t="s">
        <v>41</v>
      </c>
      <c r="C13" s="37" t="str">
        <f t="shared" si="2"/>
        <v>Shot S-280 LINGUA PORTUGUESA</v>
      </c>
      <c r="D13" s="37" t="s">
        <v>207</v>
      </c>
      <c r="E13" s="37" t="s">
        <v>209</v>
      </c>
      <c r="F13" s="37" t="s">
        <v>211</v>
      </c>
      <c r="G13" s="37" t="s">
        <v>212</v>
      </c>
      <c r="H13" s="37" t="s">
        <v>214</v>
      </c>
      <c r="I13" s="37" t="s">
        <v>215</v>
      </c>
      <c r="J13" s="37" t="s">
        <v>217</v>
      </c>
      <c r="K13" s="37" t="s">
        <v>205</v>
      </c>
      <c r="L13" s="37" t="s">
        <v>233</v>
      </c>
      <c r="M13" s="38">
        <v>16</v>
      </c>
      <c r="N13" s="124" t="s">
        <v>250</v>
      </c>
      <c r="O13" s="40" t="s">
        <v>156</v>
      </c>
      <c r="P13" s="38">
        <v>18</v>
      </c>
      <c r="Q13" s="124" t="s">
        <v>249</v>
      </c>
      <c r="R13" s="37" t="s">
        <v>105</v>
      </c>
      <c r="S13" s="38">
        <v>25</v>
      </c>
      <c r="T13" s="45" t="s">
        <v>259</v>
      </c>
      <c r="U13" s="37" t="s">
        <v>103</v>
      </c>
      <c r="V13" s="38">
        <v>30</v>
      </c>
      <c r="W13" s="45" t="s">
        <v>247</v>
      </c>
      <c r="X13" s="37" t="s">
        <v>106</v>
      </c>
      <c r="Y13" s="43"/>
      <c r="Z13" s="44"/>
      <c r="AA13" s="44"/>
      <c r="AB13" s="44"/>
      <c r="AC13" s="44"/>
      <c r="AD13" s="44"/>
      <c r="AE13" s="44"/>
      <c r="AF13" s="44"/>
      <c r="AG13" s="44"/>
      <c r="AH13" s="37" t="s">
        <v>292</v>
      </c>
      <c r="AI13" s="49" t="s">
        <v>48</v>
      </c>
      <c r="AJ13" s="52" t="s">
        <v>241</v>
      </c>
      <c r="AK13" s="145" t="str">
        <f t="shared" si="3"/>
        <v>Shot S-280 LINGUA PORTUGUESA</v>
      </c>
      <c r="AL13" s="140" t="s">
        <v>290</v>
      </c>
      <c r="AM13" s="141" t="str">
        <f t="shared" si="1"/>
        <v>4 Malhas</v>
      </c>
      <c r="AN13" s="141" t="str">
        <f t="shared" si="4"/>
        <v>Shot 4 Malhas</v>
      </c>
      <c r="AO13" s="10"/>
      <c r="AP13" s="30" t="s">
        <v>14</v>
      </c>
      <c r="AQ13" s="31" t="s">
        <v>183</v>
      </c>
      <c r="AR13" s="32" t="s">
        <v>283</v>
      </c>
      <c r="AS13" s="11"/>
      <c r="AT13" s="141" t="s">
        <v>311</v>
      </c>
      <c r="AU13" s="153" t="s">
        <v>135</v>
      </c>
      <c r="AV13" s="141" t="s">
        <v>241</v>
      </c>
      <c r="AW13" s="141"/>
      <c r="AY13" s="155" t="s">
        <v>247</v>
      </c>
      <c r="AZ13" s="141">
        <v>30</v>
      </c>
      <c r="BJ13" s="36" t="str">
        <f t="shared" si="0"/>
        <v>Shot S-780</v>
      </c>
    </row>
    <row r="14" spans="1:62" ht="15.75" x14ac:dyDescent="0.25">
      <c r="A14" s="36" t="s">
        <v>49</v>
      </c>
      <c r="B14" s="37" t="s">
        <v>41</v>
      </c>
      <c r="C14" s="37" t="str">
        <f t="shared" si="2"/>
        <v>Shot S-330 LINGUA PORTUGUESA</v>
      </c>
      <c r="D14" s="37" t="s">
        <v>207</v>
      </c>
      <c r="E14" s="37" t="s">
        <v>209</v>
      </c>
      <c r="F14" s="37" t="s">
        <v>211</v>
      </c>
      <c r="G14" s="37" t="s">
        <v>212</v>
      </c>
      <c r="H14" s="37" t="s">
        <v>214</v>
      </c>
      <c r="I14" s="37" t="s">
        <v>215</v>
      </c>
      <c r="J14" s="37" t="s">
        <v>217</v>
      </c>
      <c r="K14" s="37" t="s">
        <v>205</v>
      </c>
      <c r="L14" s="37" t="s">
        <v>233</v>
      </c>
      <c r="M14" s="38">
        <v>14</v>
      </c>
      <c r="N14" s="124" t="s">
        <v>251</v>
      </c>
      <c r="O14" s="40" t="s">
        <v>156</v>
      </c>
      <c r="P14" s="38">
        <v>16</v>
      </c>
      <c r="Q14" s="124" t="s">
        <v>250</v>
      </c>
      <c r="R14" s="37" t="s">
        <v>105</v>
      </c>
      <c r="S14" s="38">
        <v>20</v>
      </c>
      <c r="T14" s="45" t="s">
        <v>248</v>
      </c>
      <c r="U14" s="37" t="s">
        <v>103</v>
      </c>
      <c r="V14" s="38">
        <v>25</v>
      </c>
      <c r="W14" s="45" t="s">
        <v>259</v>
      </c>
      <c r="X14" s="37" t="s">
        <v>106</v>
      </c>
      <c r="Y14" s="43"/>
      <c r="Z14" s="44"/>
      <c r="AA14" s="44"/>
      <c r="AB14" s="44"/>
      <c r="AC14" s="44"/>
      <c r="AD14" s="44"/>
      <c r="AE14" s="44"/>
      <c r="AF14" s="44"/>
      <c r="AG14" s="44"/>
      <c r="AH14" s="37" t="s">
        <v>292</v>
      </c>
      <c r="AI14" s="49" t="s">
        <v>48</v>
      </c>
      <c r="AJ14" s="52" t="s">
        <v>241</v>
      </c>
      <c r="AK14" s="145" t="str">
        <f t="shared" si="3"/>
        <v>Shot S-330 LINGUA PORTUGUESA</v>
      </c>
      <c r="AL14" s="140" t="s">
        <v>290</v>
      </c>
      <c r="AM14" s="141" t="str">
        <f t="shared" si="1"/>
        <v>4 Malhas</v>
      </c>
      <c r="AN14" s="141" t="str">
        <f t="shared" si="4"/>
        <v>Shot 4 Malhas</v>
      </c>
      <c r="AO14" s="10"/>
      <c r="AP14" s="30" t="s">
        <v>15</v>
      </c>
      <c r="AQ14" s="31" t="s">
        <v>184</v>
      </c>
      <c r="AR14" s="32" t="s">
        <v>185</v>
      </c>
      <c r="AS14" s="11"/>
      <c r="AT14" s="141" t="s">
        <v>314</v>
      </c>
      <c r="AU14" s="153" t="s">
        <v>316</v>
      </c>
      <c r="AV14" s="153" t="s">
        <v>315</v>
      </c>
      <c r="AW14" s="141"/>
      <c r="AY14" s="155" t="s">
        <v>259</v>
      </c>
      <c r="AZ14" s="141">
        <v>25</v>
      </c>
      <c r="BJ14" s="36" t="str">
        <f t="shared" si="0"/>
        <v>Grit G-14S</v>
      </c>
    </row>
    <row r="15" spans="1:62" ht="15.75" x14ac:dyDescent="0.25">
      <c r="A15" s="36" t="s">
        <v>50</v>
      </c>
      <c r="B15" s="37" t="s">
        <v>41</v>
      </c>
      <c r="C15" s="37" t="str">
        <f t="shared" si="2"/>
        <v>Shot S-390 LINGUA PORTUGUESA</v>
      </c>
      <c r="D15" s="37" t="s">
        <v>207</v>
      </c>
      <c r="E15" s="37" t="s">
        <v>209</v>
      </c>
      <c r="F15" s="37" t="s">
        <v>211</v>
      </c>
      <c r="G15" s="37" t="s">
        <v>212</v>
      </c>
      <c r="H15" s="37" t="s">
        <v>214</v>
      </c>
      <c r="I15" s="37" t="s">
        <v>215</v>
      </c>
      <c r="J15" s="37" t="s">
        <v>217</v>
      </c>
      <c r="K15" s="37" t="s">
        <v>205</v>
      </c>
      <c r="L15" s="37" t="s">
        <v>233</v>
      </c>
      <c r="M15" s="38">
        <v>12</v>
      </c>
      <c r="N15" s="124" t="s">
        <v>252</v>
      </c>
      <c r="O15" s="40" t="s">
        <v>156</v>
      </c>
      <c r="P15" s="38">
        <v>14</v>
      </c>
      <c r="Q15" s="124" t="s">
        <v>251</v>
      </c>
      <c r="R15" s="37" t="s">
        <v>105</v>
      </c>
      <c r="S15" s="38">
        <v>18</v>
      </c>
      <c r="T15" s="124" t="s">
        <v>249</v>
      </c>
      <c r="U15" s="37" t="s">
        <v>103</v>
      </c>
      <c r="V15" s="38">
        <v>20</v>
      </c>
      <c r="W15" s="45" t="s">
        <v>248</v>
      </c>
      <c r="X15" s="37" t="s">
        <v>106</v>
      </c>
      <c r="Y15" s="43"/>
      <c r="Z15" s="44"/>
      <c r="AA15" s="44"/>
      <c r="AB15" s="44"/>
      <c r="AC15" s="44"/>
      <c r="AD15" s="44"/>
      <c r="AE15" s="44"/>
      <c r="AF15" s="44"/>
      <c r="AG15" s="44"/>
      <c r="AH15" s="37" t="s">
        <v>292</v>
      </c>
      <c r="AI15" s="49" t="s">
        <v>48</v>
      </c>
      <c r="AJ15" s="52" t="s">
        <v>241</v>
      </c>
      <c r="AK15" s="145" t="str">
        <f t="shared" si="3"/>
        <v>Shot S-390 LINGUA PORTUGUESA</v>
      </c>
      <c r="AL15" s="140" t="s">
        <v>290</v>
      </c>
      <c r="AM15" s="141" t="str">
        <f t="shared" si="1"/>
        <v>4 Malhas</v>
      </c>
      <c r="AN15" s="141" t="str">
        <f t="shared" si="4"/>
        <v>Shot 4 Malhas</v>
      </c>
      <c r="AO15" s="10"/>
      <c r="AP15" s="30" t="s">
        <v>21</v>
      </c>
      <c r="AQ15" s="31" t="s">
        <v>181</v>
      </c>
      <c r="AR15" s="32" t="s">
        <v>182</v>
      </c>
      <c r="AS15" s="11"/>
      <c r="AU15" s="158"/>
      <c r="AV15" s="158"/>
      <c r="AY15" s="155" t="s">
        <v>248</v>
      </c>
      <c r="AZ15" s="141">
        <v>20</v>
      </c>
      <c r="BJ15" s="36" t="str">
        <f t="shared" si="0"/>
        <v>Grit G-16S</v>
      </c>
    </row>
    <row r="16" spans="1:62" ht="15.75" x14ac:dyDescent="0.25">
      <c r="A16" s="36" t="s">
        <v>51</v>
      </c>
      <c r="B16" s="37" t="s">
        <v>41</v>
      </c>
      <c r="C16" s="37" t="str">
        <f t="shared" si="2"/>
        <v>Shot S-460 LINGUA PORTUGUESA</v>
      </c>
      <c r="D16" s="37" t="s">
        <v>207</v>
      </c>
      <c r="E16" s="37" t="s">
        <v>209</v>
      </c>
      <c r="F16" s="37" t="s">
        <v>211</v>
      </c>
      <c r="G16" s="37" t="s">
        <v>212</v>
      </c>
      <c r="H16" s="37" t="s">
        <v>214</v>
      </c>
      <c r="I16" s="37" t="s">
        <v>215</v>
      </c>
      <c r="J16" s="37" t="s">
        <v>217</v>
      </c>
      <c r="K16" s="37" t="s">
        <v>205</v>
      </c>
      <c r="L16" s="37" t="s">
        <v>233</v>
      </c>
      <c r="M16" s="38">
        <v>10</v>
      </c>
      <c r="N16" s="124" t="s">
        <v>253</v>
      </c>
      <c r="O16" s="40" t="s">
        <v>156</v>
      </c>
      <c r="P16" s="38">
        <v>12</v>
      </c>
      <c r="Q16" s="124" t="s">
        <v>252</v>
      </c>
      <c r="R16" s="37" t="s">
        <v>105</v>
      </c>
      <c r="S16" s="38">
        <v>16</v>
      </c>
      <c r="T16" s="124" t="s">
        <v>250</v>
      </c>
      <c r="U16" s="37" t="s">
        <v>103</v>
      </c>
      <c r="V16" s="38">
        <v>18</v>
      </c>
      <c r="W16" s="124" t="s">
        <v>249</v>
      </c>
      <c r="X16" s="37" t="s">
        <v>106</v>
      </c>
      <c r="Y16" s="43"/>
      <c r="Z16" s="44"/>
      <c r="AA16" s="44"/>
      <c r="AB16" s="44"/>
      <c r="AC16" s="44"/>
      <c r="AD16" s="44"/>
      <c r="AE16" s="44"/>
      <c r="AF16" s="44"/>
      <c r="AG16" s="44"/>
      <c r="AH16" s="37" t="s">
        <v>292</v>
      </c>
      <c r="AI16" s="49" t="s">
        <v>48</v>
      </c>
      <c r="AJ16" s="52" t="s">
        <v>241</v>
      </c>
      <c r="AK16" s="145" t="str">
        <f t="shared" si="3"/>
        <v>Shot S-460 LINGUA PORTUGUESA</v>
      </c>
      <c r="AL16" s="140" t="s">
        <v>290</v>
      </c>
      <c r="AM16" s="141" t="str">
        <f t="shared" si="1"/>
        <v>4 Malhas</v>
      </c>
      <c r="AN16" s="141" t="str">
        <f t="shared" si="4"/>
        <v>Shot 4 Malhas</v>
      </c>
      <c r="AO16" s="10"/>
      <c r="AP16" s="30" t="s">
        <v>16</v>
      </c>
      <c r="AQ16" s="31" t="s">
        <v>145</v>
      </c>
      <c r="AR16" s="32" t="s">
        <v>117</v>
      </c>
      <c r="AS16" s="11"/>
      <c r="AU16" s="158"/>
      <c r="AV16" s="158"/>
      <c r="AY16" s="155" t="s">
        <v>249</v>
      </c>
      <c r="AZ16" s="141">
        <v>18</v>
      </c>
      <c r="BJ16" s="36" t="str">
        <f t="shared" si="0"/>
        <v>Grit G-18S</v>
      </c>
    </row>
    <row r="17" spans="1:62" ht="15.75" x14ac:dyDescent="0.25">
      <c r="A17" s="36" t="s">
        <v>52</v>
      </c>
      <c r="B17" s="37" t="s">
        <v>41</v>
      </c>
      <c r="C17" s="37" t="str">
        <f t="shared" si="2"/>
        <v>Shot S-550 LINGUA PORTUGUESA</v>
      </c>
      <c r="D17" s="37" t="s">
        <v>207</v>
      </c>
      <c r="E17" s="37" t="s">
        <v>209</v>
      </c>
      <c r="F17" s="37" t="s">
        <v>211</v>
      </c>
      <c r="G17" s="37" t="s">
        <v>212</v>
      </c>
      <c r="H17" s="37" t="s">
        <v>214</v>
      </c>
      <c r="I17" s="37" t="s">
        <v>215</v>
      </c>
      <c r="J17" s="37" t="s">
        <v>217</v>
      </c>
      <c r="K17" s="37" t="s">
        <v>205</v>
      </c>
      <c r="L17" s="37" t="s">
        <v>233</v>
      </c>
      <c r="M17" s="38">
        <v>10</v>
      </c>
      <c r="N17" s="124" t="s">
        <v>253</v>
      </c>
      <c r="O17" s="40" t="s">
        <v>156</v>
      </c>
      <c r="P17" s="38">
        <v>14</v>
      </c>
      <c r="Q17" s="124" t="s">
        <v>251</v>
      </c>
      <c r="R17" s="37" t="s">
        <v>103</v>
      </c>
      <c r="S17" s="38">
        <v>16</v>
      </c>
      <c r="T17" s="124" t="s">
        <v>250</v>
      </c>
      <c r="U17" s="37" t="s">
        <v>104</v>
      </c>
      <c r="V17" s="38"/>
      <c r="W17" s="46"/>
      <c r="X17" s="44"/>
      <c r="Y17" s="43"/>
      <c r="Z17" s="44"/>
      <c r="AA17" s="44"/>
      <c r="AB17" s="44"/>
      <c r="AC17" s="44"/>
      <c r="AD17" s="44"/>
      <c r="AE17" s="44"/>
      <c r="AF17" s="44"/>
      <c r="AG17" s="44"/>
      <c r="AH17" s="37" t="s">
        <v>292</v>
      </c>
      <c r="AI17" s="49" t="s">
        <v>48</v>
      </c>
      <c r="AJ17" s="52" t="s">
        <v>241</v>
      </c>
      <c r="AK17" s="145" t="str">
        <f t="shared" si="3"/>
        <v>Shot S-550 LINGUA PORTUGUESA</v>
      </c>
      <c r="AL17" s="140" t="s">
        <v>290</v>
      </c>
      <c r="AM17" s="141" t="str">
        <f t="shared" ref="AM17:AM35" si="5">IF(COUNTBLANK(M17:AG17)=15,"2 Malhas",IF(COUNTBLANK(M17:AG17)=12,"3 Malhas",IF(COUNTBLANK(M17:AG17)=9,"4 Malhas",IF(COUNTBLANK(M17:AG17)=6,"5 Malhas",IF(COUNTBLANK(M17:AG17)=3,"6 Malhas",IF(COUNTBLANK(M17:AG17)=0,"7 Malhas",))))))</f>
        <v>3 Malhas</v>
      </c>
      <c r="AN17" s="141" t="str">
        <f t="shared" si="4"/>
        <v>Shot 3 Malhas</v>
      </c>
      <c r="AO17" s="10"/>
      <c r="AP17" s="30" t="s">
        <v>134</v>
      </c>
      <c r="AQ17" s="31" t="s">
        <v>196</v>
      </c>
      <c r="AR17" s="32" t="s">
        <v>197</v>
      </c>
      <c r="AS17" s="11"/>
      <c r="AU17" s="158"/>
      <c r="AV17" s="158"/>
      <c r="AY17" s="155" t="s">
        <v>250</v>
      </c>
      <c r="AZ17" s="141">
        <v>16</v>
      </c>
      <c r="BJ17" s="36" t="str">
        <f t="shared" si="0"/>
        <v>Grit G-25S</v>
      </c>
    </row>
    <row r="18" spans="1:62" ht="15.75" x14ac:dyDescent="0.25">
      <c r="A18" s="36" t="s">
        <v>53</v>
      </c>
      <c r="B18" s="37" t="s">
        <v>41</v>
      </c>
      <c r="C18" s="37" t="str">
        <f t="shared" si="2"/>
        <v>Shot S-660 LINGUA PORTUGUESA</v>
      </c>
      <c r="D18" s="37" t="s">
        <v>207</v>
      </c>
      <c r="E18" s="37" t="s">
        <v>209</v>
      </c>
      <c r="F18" s="37" t="s">
        <v>211</v>
      </c>
      <c r="G18" s="37" t="s">
        <v>212</v>
      </c>
      <c r="H18" s="37" t="s">
        <v>214</v>
      </c>
      <c r="I18" s="37" t="s">
        <v>215</v>
      </c>
      <c r="J18" s="37" t="s">
        <v>217</v>
      </c>
      <c r="K18" s="37" t="s">
        <v>205</v>
      </c>
      <c r="L18" s="37" t="s">
        <v>233</v>
      </c>
      <c r="M18" s="38">
        <v>8</v>
      </c>
      <c r="N18" s="124" t="s">
        <v>254</v>
      </c>
      <c r="O18" s="40" t="s">
        <v>156</v>
      </c>
      <c r="P18" s="38">
        <v>12</v>
      </c>
      <c r="Q18" s="124" t="s">
        <v>252</v>
      </c>
      <c r="R18" s="37" t="s">
        <v>103</v>
      </c>
      <c r="S18" s="38">
        <v>14</v>
      </c>
      <c r="T18" s="124" t="s">
        <v>251</v>
      </c>
      <c r="U18" s="37" t="s">
        <v>104</v>
      </c>
      <c r="V18" s="38"/>
      <c r="W18" s="46"/>
      <c r="X18" s="44"/>
      <c r="Y18" s="43"/>
      <c r="Z18" s="44"/>
      <c r="AA18" s="44"/>
      <c r="AB18" s="44"/>
      <c r="AC18" s="44"/>
      <c r="AD18" s="44"/>
      <c r="AE18" s="44"/>
      <c r="AF18" s="44"/>
      <c r="AG18" s="44"/>
      <c r="AH18" s="37" t="s">
        <v>292</v>
      </c>
      <c r="AI18" s="49" t="s">
        <v>48</v>
      </c>
      <c r="AJ18" s="52" t="s">
        <v>241</v>
      </c>
      <c r="AK18" s="145" t="str">
        <f t="shared" si="3"/>
        <v>Shot S-660 LINGUA PORTUGUESA</v>
      </c>
      <c r="AL18" s="140" t="s">
        <v>290</v>
      </c>
      <c r="AM18" s="141" t="str">
        <f t="shared" si="5"/>
        <v>3 Malhas</v>
      </c>
      <c r="AN18" s="141" t="str">
        <f t="shared" si="4"/>
        <v>Shot 3 Malhas</v>
      </c>
      <c r="AO18" s="10"/>
      <c r="AP18" s="30" t="s">
        <v>17</v>
      </c>
      <c r="AQ18" s="31" t="s">
        <v>202</v>
      </c>
      <c r="AR18" s="32" t="s">
        <v>186</v>
      </c>
      <c r="AS18" s="11"/>
      <c r="AT18" s="248" t="s">
        <v>303</v>
      </c>
      <c r="AU18" s="249"/>
      <c r="AV18" s="249"/>
      <c r="AW18" s="250"/>
      <c r="AY18" s="155" t="s">
        <v>251</v>
      </c>
      <c r="AZ18" s="141">
        <v>14</v>
      </c>
      <c r="BJ18" s="36" t="str">
        <f t="shared" si="0"/>
        <v>Grit G-40S</v>
      </c>
    </row>
    <row r="19" spans="1:62" ht="15.75" x14ac:dyDescent="0.25">
      <c r="A19" s="36" t="s">
        <v>54</v>
      </c>
      <c r="B19" s="37" t="s">
        <v>41</v>
      </c>
      <c r="C19" s="37" t="str">
        <f t="shared" si="2"/>
        <v>Shot S-780 LINGUA PORTUGUESA</v>
      </c>
      <c r="D19" s="37" t="s">
        <v>207</v>
      </c>
      <c r="E19" s="37" t="s">
        <v>209</v>
      </c>
      <c r="F19" s="37" t="s">
        <v>211</v>
      </c>
      <c r="G19" s="37" t="s">
        <v>212</v>
      </c>
      <c r="H19" s="37" t="s">
        <v>214</v>
      </c>
      <c r="I19" s="37" t="s">
        <v>215</v>
      </c>
      <c r="J19" s="37" t="s">
        <v>217</v>
      </c>
      <c r="K19" s="37" t="s">
        <v>205</v>
      </c>
      <c r="L19" s="37" t="s">
        <v>233</v>
      </c>
      <c r="M19" s="38">
        <v>7</v>
      </c>
      <c r="N19" s="124" t="s">
        <v>255</v>
      </c>
      <c r="O19" s="40" t="s">
        <v>156</v>
      </c>
      <c r="P19" s="38">
        <v>10</v>
      </c>
      <c r="Q19" s="124" t="s">
        <v>253</v>
      </c>
      <c r="R19" s="37" t="s">
        <v>103</v>
      </c>
      <c r="S19" s="38">
        <v>12</v>
      </c>
      <c r="T19" s="124" t="s">
        <v>252</v>
      </c>
      <c r="U19" s="37" t="s">
        <v>104</v>
      </c>
      <c r="V19" s="38"/>
      <c r="W19" s="46"/>
      <c r="X19" s="44"/>
      <c r="Y19" s="43"/>
      <c r="Z19" s="44"/>
      <c r="AA19" s="44"/>
      <c r="AB19" s="44"/>
      <c r="AC19" s="44"/>
      <c r="AD19" s="44"/>
      <c r="AE19" s="44"/>
      <c r="AF19" s="44"/>
      <c r="AG19" s="44"/>
      <c r="AH19" s="37" t="s">
        <v>292</v>
      </c>
      <c r="AI19" s="49" t="s">
        <v>48</v>
      </c>
      <c r="AJ19" s="52" t="s">
        <v>241</v>
      </c>
      <c r="AK19" s="145" t="str">
        <f t="shared" si="3"/>
        <v>Shot S-780 LINGUA PORTUGUESA</v>
      </c>
      <c r="AL19" s="140" t="s">
        <v>290</v>
      </c>
      <c r="AM19" s="141" t="str">
        <f t="shared" si="5"/>
        <v>3 Malhas</v>
      </c>
      <c r="AN19" s="141" t="str">
        <f t="shared" si="4"/>
        <v>Shot 3 Malhas</v>
      </c>
      <c r="AO19" s="10"/>
      <c r="AP19" s="30" t="s">
        <v>18</v>
      </c>
      <c r="AQ19" s="31" t="s">
        <v>203</v>
      </c>
      <c r="AR19" s="32" t="s">
        <v>187</v>
      </c>
      <c r="AS19" s="11"/>
      <c r="AT19" s="251"/>
      <c r="AU19" s="252"/>
      <c r="AV19" s="252"/>
      <c r="AW19" s="252"/>
      <c r="AY19" s="155" t="s">
        <v>252</v>
      </c>
      <c r="AZ19" s="141">
        <v>12</v>
      </c>
      <c r="BJ19" s="36" t="str">
        <f t="shared" si="0"/>
        <v>Grit G-50S</v>
      </c>
    </row>
    <row r="20" spans="1:62" ht="26.25" x14ac:dyDescent="0.25">
      <c r="A20" s="36" t="s">
        <v>55</v>
      </c>
      <c r="B20" s="37" t="s">
        <v>41</v>
      </c>
      <c r="C20" s="37" t="str">
        <f t="shared" si="2"/>
        <v>Grit G-14S LINGUA PORTUGUESA</v>
      </c>
      <c r="D20" s="37" t="s">
        <v>208</v>
      </c>
      <c r="E20" s="37" t="s">
        <v>210</v>
      </c>
      <c r="F20" s="37" t="s">
        <v>211</v>
      </c>
      <c r="G20" s="37" t="s">
        <v>213</v>
      </c>
      <c r="H20" s="37" t="s">
        <v>296</v>
      </c>
      <c r="I20" s="37" t="s">
        <v>216</v>
      </c>
      <c r="J20" s="37" t="s">
        <v>218</v>
      </c>
      <c r="K20" s="37" t="s">
        <v>239</v>
      </c>
      <c r="L20" s="37" t="s">
        <v>233</v>
      </c>
      <c r="M20" s="38">
        <v>10</v>
      </c>
      <c r="N20" s="124" t="s">
        <v>253</v>
      </c>
      <c r="O20" s="40" t="s">
        <v>156</v>
      </c>
      <c r="P20" s="38">
        <v>14</v>
      </c>
      <c r="Q20" s="124" t="s">
        <v>251</v>
      </c>
      <c r="R20" s="47" t="s">
        <v>43</v>
      </c>
      <c r="S20" s="38">
        <v>16</v>
      </c>
      <c r="T20" s="124" t="s">
        <v>250</v>
      </c>
      <c r="U20" s="47" t="s">
        <v>107</v>
      </c>
      <c r="V20" s="38"/>
      <c r="W20" s="46"/>
      <c r="X20" s="44"/>
      <c r="Y20" s="43"/>
      <c r="Z20" s="44"/>
      <c r="AA20" s="44"/>
      <c r="AB20" s="44"/>
      <c r="AC20" s="44"/>
      <c r="AD20" s="44"/>
      <c r="AE20" s="44"/>
      <c r="AF20" s="44"/>
      <c r="AG20" s="44"/>
      <c r="AH20" s="37" t="s">
        <v>293</v>
      </c>
      <c r="AI20" s="42" t="s">
        <v>42</v>
      </c>
      <c r="AJ20" s="52" t="s">
        <v>241</v>
      </c>
      <c r="AK20" s="145" t="str">
        <f t="shared" si="3"/>
        <v>Grit G-14S LINGUA PORTUGUESA</v>
      </c>
      <c r="AL20" s="140" t="s">
        <v>291</v>
      </c>
      <c r="AM20" s="141" t="str">
        <f t="shared" si="5"/>
        <v>3 Malhas</v>
      </c>
      <c r="AN20" s="141" t="str">
        <f t="shared" si="4"/>
        <v>Grit 3 Malhas</v>
      </c>
      <c r="AO20" s="10"/>
      <c r="AP20" s="30" t="s">
        <v>19</v>
      </c>
      <c r="AQ20" s="31" t="s">
        <v>188</v>
      </c>
      <c r="AR20" s="32" t="s">
        <v>284</v>
      </c>
      <c r="AS20" s="11"/>
      <c r="AT20" s="141"/>
      <c r="AU20" s="152"/>
      <c r="AV20" s="152"/>
      <c r="AW20" s="152"/>
      <c r="AY20" s="155" t="s">
        <v>253</v>
      </c>
      <c r="AZ20" s="141">
        <v>10</v>
      </c>
      <c r="BJ20" s="36" t="str">
        <f t="shared" si="0"/>
        <v>Grit G-80S</v>
      </c>
    </row>
    <row r="21" spans="1:62" ht="15.75" x14ac:dyDescent="0.25">
      <c r="A21" s="36" t="s">
        <v>56</v>
      </c>
      <c r="B21" s="37" t="s">
        <v>41</v>
      </c>
      <c r="C21" s="37" t="str">
        <f t="shared" si="2"/>
        <v>Grit G-16S LINGUA PORTUGUESA</v>
      </c>
      <c r="D21" s="37" t="s">
        <v>208</v>
      </c>
      <c r="E21" s="37" t="s">
        <v>210</v>
      </c>
      <c r="F21" s="37" t="s">
        <v>211</v>
      </c>
      <c r="G21" s="37" t="s">
        <v>213</v>
      </c>
      <c r="H21" s="37" t="s">
        <v>296</v>
      </c>
      <c r="I21" s="37" t="s">
        <v>216</v>
      </c>
      <c r="J21" s="37" t="s">
        <v>218</v>
      </c>
      <c r="K21" s="37" t="s">
        <v>239</v>
      </c>
      <c r="L21" s="37" t="s">
        <v>233</v>
      </c>
      <c r="M21" s="38">
        <v>12</v>
      </c>
      <c r="N21" s="124" t="s">
        <v>252</v>
      </c>
      <c r="O21" s="40" t="s">
        <v>156</v>
      </c>
      <c r="P21" s="38">
        <v>16</v>
      </c>
      <c r="Q21" s="124" t="s">
        <v>250</v>
      </c>
      <c r="R21" s="47" t="s">
        <v>108</v>
      </c>
      <c r="S21" s="38">
        <v>18</v>
      </c>
      <c r="T21" s="124" t="s">
        <v>249</v>
      </c>
      <c r="U21" s="47" t="s">
        <v>103</v>
      </c>
      <c r="V21" s="38"/>
      <c r="W21" s="46"/>
      <c r="X21" s="44"/>
      <c r="Y21" s="43"/>
      <c r="Z21" s="44"/>
      <c r="AA21" s="44"/>
      <c r="AB21" s="44"/>
      <c r="AC21" s="44"/>
      <c r="AD21" s="44"/>
      <c r="AE21" s="44"/>
      <c r="AF21" s="44"/>
      <c r="AG21" s="44"/>
      <c r="AH21" s="37" t="s">
        <v>293</v>
      </c>
      <c r="AI21" s="42" t="s">
        <v>42</v>
      </c>
      <c r="AJ21" s="52" t="s">
        <v>241</v>
      </c>
      <c r="AK21" s="145" t="str">
        <f t="shared" si="3"/>
        <v>Grit G-16S LINGUA PORTUGUESA</v>
      </c>
      <c r="AL21" s="140" t="s">
        <v>291</v>
      </c>
      <c r="AM21" s="141" t="str">
        <f t="shared" si="5"/>
        <v>3 Malhas</v>
      </c>
      <c r="AN21" s="141" t="str">
        <f t="shared" si="4"/>
        <v>Grit 3 Malhas</v>
      </c>
      <c r="AO21" s="10"/>
      <c r="AP21" s="30" t="s">
        <v>166</v>
      </c>
      <c r="AQ21" s="31" t="s">
        <v>190</v>
      </c>
      <c r="AR21" s="32" t="s">
        <v>166</v>
      </c>
      <c r="AS21" s="11"/>
      <c r="AT21" s="153" t="s">
        <v>132</v>
      </c>
      <c r="AU21" s="153" t="s">
        <v>219</v>
      </c>
      <c r="AV21" s="153" t="s">
        <v>220</v>
      </c>
      <c r="AW21" s="153"/>
      <c r="AY21" s="155" t="s">
        <v>254</v>
      </c>
      <c r="AZ21" s="141">
        <v>8</v>
      </c>
      <c r="BJ21" s="36" t="str">
        <f t="shared" si="0"/>
        <v>Grit G-120S</v>
      </c>
    </row>
    <row r="22" spans="1:62" ht="15.75" x14ac:dyDescent="0.25">
      <c r="A22" s="36" t="s">
        <v>57</v>
      </c>
      <c r="B22" s="37" t="s">
        <v>41</v>
      </c>
      <c r="C22" s="37" t="str">
        <f t="shared" si="2"/>
        <v>Grit G-18S LINGUA PORTUGUESA</v>
      </c>
      <c r="D22" s="37" t="s">
        <v>208</v>
      </c>
      <c r="E22" s="37" t="s">
        <v>210</v>
      </c>
      <c r="F22" s="37" t="s">
        <v>211</v>
      </c>
      <c r="G22" s="37" t="s">
        <v>213</v>
      </c>
      <c r="H22" s="37" t="s">
        <v>296</v>
      </c>
      <c r="I22" s="37" t="s">
        <v>216</v>
      </c>
      <c r="J22" s="37" t="s">
        <v>218</v>
      </c>
      <c r="K22" s="37" t="s">
        <v>239</v>
      </c>
      <c r="L22" s="37" t="s">
        <v>233</v>
      </c>
      <c r="M22" s="38">
        <v>14</v>
      </c>
      <c r="N22" s="124" t="s">
        <v>251</v>
      </c>
      <c r="O22" s="40" t="s">
        <v>156</v>
      </c>
      <c r="P22" s="38">
        <v>18</v>
      </c>
      <c r="Q22" s="124" t="s">
        <v>249</v>
      </c>
      <c r="R22" s="47" t="s">
        <v>108</v>
      </c>
      <c r="S22" s="38">
        <v>25</v>
      </c>
      <c r="T22" s="45" t="s">
        <v>259</v>
      </c>
      <c r="U22" s="47" t="s">
        <v>103</v>
      </c>
      <c r="V22" s="38"/>
      <c r="W22" s="46"/>
      <c r="X22" s="44"/>
      <c r="Y22" s="43"/>
      <c r="Z22" s="44"/>
      <c r="AA22" s="44"/>
      <c r="AB22" s="44"/>
      <c r="AC22" s="44"/>
      <c r="AD22" s="44"/>
      <c r="AE22" s="44"/>
      <c r="AF22" s="44"/>
      <c r="AG22" s="44"/>
      <c r="AH22" s="37" t="s">
        <v>293</v>
      </c>
      <c r="AI22" s="42" t="s">
        <v>42</v>
      </c>
      <c r="AJ22" s="52" t="s">
        <v>241</v>
      </c>
      <c r="AK22" s="145" t="str">
        <f t="shared" si="3"/>
        <v>Grit G-18S LINGUA PORTUGUESA</v>
      </c>
      <c r="AL22" s="140" t="s">
        <v>291</v>
      </c>
      <c r="AM22" s="141" t="str">
        <f t="shared" si="5"/>
        <v>3 Malhas</v>
      </c>
      <c r="AN22" s="141" t="str">
        <f t="shared" si="4"/>
        <v>Grit 3 Malhas</v>
      </c>
      <c r="AO22" s="10"/>
      <c r="AP22" s="30" t="s">
        <v>20</v>
      </c>
      <c r="AQ22" s="31" t="s">
        <v>204</v>
      </c>
      <c r="AR22" s="32" t="s">
        <v>189</v>
      </c>
      <c r="AS22" s="11"/>
      <c r="AT22" s="153" t="s">
        <v>142</v>
      </c>
      <c r="AU22" s="153" t="s">
        <v>221</v>
      </c>
      <c r="AV22" s="153" t="s">
        <v>222</v>
      </c>
      <c r="AW22" s="141" t="s">
        <v>141</v>
      </c>
      <c r="AY22" s="155" t="s">
        <v>255</v>
      </c>
      <c r="AZ22" s="141">
        <v>7</v>
      </c>
      <c r="BJ22" s="36" t="str">
        <f t="shared" si="0"/>
        <v>Grit G-14M</v>
      </c>
    </row>
    <row r="23" spans="1:62" ht="15.75" x14ac:dyDescent="0.25">
      <c r="A23" s="36" t="s">
        <v>58</v>
      </c>
      <c r="B23" s="37" t="s">
        <v>41</v>
      </c>
      <c r="C23" s="37" t="str">
        <f t="shared" si="2"/>
        <v>Grit G-25S LINGUA PORTUGUESA</v>
      </c>
      <c r="D23" s="37" t="s">
        <v>208</v>
      </c>
      <c r="E23" s="37" t="s">
        <v>210</v>
      </c>
      <c r="F23" s="37" t="s">
        <v>211</v>
      </c>
      <c r="G23" s="37" t="s">
        <v>213</v>
      </c>
      <c r="H23" s="37" t="s">
        <v>296</v>
      </c>
      <c r="I23" s="37" t="s">
        <v>216</v>
      </c>
      <c r="J23" s="37" t="s">
        <v>218</v>
      </c>
      <c r="K23" s="37" t="s">
        <v>239</v>
      </c>
      <c r="L23" s="37" t="s">
        <v>233</v>
      </c>
      <c r="M23" s="38">
        <v>16</v>
      </c>
      <c r="N23" s="124" t="s">
        <v>250</v>
      </c>
      <c r="O23" s="40" t="s">
        <v>156</v>
      </c>
      <c r="P23" s="38">
        <v>25</v>
      </c>
      <c r="Q23" s="45" t="s">
        <v>259</v>
      </c>
      <c r="R23" s="47" t="s">
        <v>109</v>
      </c>
      <c r="S23" s="38">
        <v>40</v>
      </c>
      <c r="T23" s="45" t="s">
        <v>246</v>
      </c>
      <c r="U23" s="47" t="s">
        <v>43</v>
      </c>
      <c r="V23" s="38"/>
      <c r="W23" s="46"/>
      <c r="X23" s="44"/>
      <c r="Y23" s="43"/>
      <c r="Z23" s="44"/>
      <c r="AA23" s="44"/>
      <c r="AB23" s="44"/>
      <c r="AC23" s="44"/>
      <c r="AD23" s="44"/>
      <c r="AE23" s="44"/>
      <c r="AF23" s="44"/>
      <c r="AG23" s="44"/>
      <c r="AH23" s="37" t="s">
        <v>293</v>
      </c>
      <c r="AI23" s="42" t="s">
        <v>42</v>
      </c>
      <c r="AJ23" s="52" t="s">
        <v>241</v>
      </c>
      <c r="AK23" s="145" t="str">
        <f t="shared" si="3"/>
        <v>Grit G-25S LINGUA PORTUGUESA</v>
      </c>
      <c r="AL23" s="140" t="s">
        <v>291</v>
      </c>
      <c r="AM23" s="141" t="str">
        <f t="shared" si="5"/>
        <v>3 Malhas</v>
      </c>
      <c r="AN23" s="141" t="str">
        <f t="shared" si="4"/>
        <v>Grit 3 Malhas</v>
      </c>
      <c r="AO23" s="10"/>
      <c r="AP23" s="30" t="s">
        <v>21</v>
      </c>
      <c r="AQ23" s="31" t="s">
        <v>181</v>
      </c>
      <c r="AR23" s="32" t="s">
        <v>182</v>
      </c>
      <c r="AS23" s="11"/>
      <c r="AT23" s="141" t="s">
        <v>306</v>
      </c>
      <c r="AU23" s="153" t="s">
        <v>223</v>
      </c>
      <c r="AV23" s="153" t="s">
        <v>223</v>
      </c>
      <c r="AW23" s="141" t="s">
        <v>144</v>
      </c>
      <c r="AY23" s="155" t="s">
        <v>256</v>
      </c>
      <c r="AZ23" s="141">
        <v>6</v>
      </c>
      <c r="BJ23" s="36" t="str">
        <f t="shared" si="0"/>
        <v>Grit G-16M</v>
      </c>
    </row>
    <row r="24" spans="1:62" ht="15.75" x14ac:dyDescent="0.25">
      <c r="A24" s="36" t="s">
        <v>59</v>
      </c>
      <c r="B24" s="37" t="s">
        <v>41</v>
      </c>
      <c r="C24" s="37" t="str">
        <f t="shared" si="2"/>
        <v>Grit G-40S LINGUA PORTUGUESA</v>
      </c>
      <c r="D24" s="37" t="s">
        <v>208</v>
      </c>
      <c r="E24" s="37" t="s">
        <v>210</v>
      </c>
      <c r="F24" s="37" t="s">
        <v>211</v>
      </c>
      <c r="G24" s="37" t="s">
        <v>213</v>
      </c>
      <c r="H24" s="37" t="s">
        <v>296</v>
      </c>
      <c r="I24" s="37" t="s">
        <v>216</v>
      </c>
      <c r="J24" s="37" t="s">
        <v>218</v>
      </c>
      <c r="K24" s="37" t="s">
        <v>239</v>
      </c>
      <c r="L24" s="37" t="s">
        <v>233</v>
      </c>
      <c r="M24" s="38">
        <v>18</v>
      </c>
      <c r="N24" s="124" t="s">
        <v>249</v>
      </c>
      <c r="O24" s="40" t="s">
        <v>156</v>
      </c>
      <c r="P24" s="38">
        <v>40</v>
      </c>
      <c r="Q24" s="45" t="s">
        <v>246</v>
      </c>
      <c r="R24" s="47" t="s">
        <v>110</v>
      </c>
      <c r="S24" s="38">
        <v>50</v>
      </c>
      <c r="T24" s="45" t="s">
        <v>260</v>
      </c>
      <c r="U24" s="47" t="s">
        <v>43</v>
      </c>
      <c r="V24" s="38"/>
      <c r="W24" s="46"/>
      <c r="X24" s="44"/>
      <c r="Y24" s="43"/>
      <c r="Z24" s="44"/>
      <c r="AA24" s="44"/>
      <c r="AB24" s="44"/>
      <c r="AC24" s="44"/>
      <c r="AD24" s="44"/>
      <c r="AE24" s="44"/>
      <c r="AF24" s="44"/>
      <c r="AG24" s="44"/>
      <c r="AH24" s="37" t="s">
        <v>293</v>
      </c>
      <c r="AI24" s="42" t="s">
        <v>42</v>
      </c>
      <c r="AJ24" s="52" t="s">
        <v>241</v>
      </c>
      <c r="AK24" s="145" t="str">
        <f t="shared" si="3"/>
        <v>Grit G-40S LINGUA PORTUGUESA</v>
      </c>
      <c r="AL24" s="140" t="s">
        <v>291</v>
      </c>
      <c r="AM24" s="141" t="str">
        <f t="shared" si="5"/>
        <v>3 Malhas</v>
      </c>
      <c r="AN24" s="141" t="str">
        <f t="shared" si="4"/>
        <v>Grit 3 Malhas</v>
      </c>
      <c r="AO24" s="10"/>
      <c r="AP24" s="30" t="s">
        <v>200</v>
      </c>
      <c r="AQ24" s="31" t="s">
        <v>201</v>
      </c>
      <c r="AR24" s="32" t="s">
        <v>200</v>
      </c>
      <c r="AS24" s="11"/>
      <c r="AT24" s="141" t="s">
        <v>145</v>
      </c>
      <c r="AU24" s="153" t="s">
        <v>224</v>
      </c>
      <c r="AV24" s="153" t="s">
        <v>225</v>
      </c>
      <c r="AW24" s="153" t="s">
        <v>148</v>
      </c>
      <c r="AY24" s="155" t="s">
        <v>257</v>
      </c>
      <c r="AZ24" s="141">
        <v>5</v>
      </c>
      <c r="BJ24" s="36" t="str">
        <f t="shared" si="0"/>
        <v>Grit G-18M</v>
      </c>
    </row>
    <row r="25" spans="1:62" ht="15.75" x14ac:dyDescent="0.25">
      <c r="A25" s="36" t="s">
        <v>60</v>
      </c>
      <c r="B25" s="37" t="s">
        <v>41</v>
      </c>
      <c r="C25" s="37" t="str">
        <f t="shared" si="2"/>
        <v>Grit G-50S LINGUA PORTUGUESA</v>
      </c>
      <c r="D25" s="37" t="s">
        <v>208</v>
      </c>
      <c r="E25" s="37" t="s">
        <v>210</v>
      </c>
      <c r="F25" s="37" t="s">
        <v>211</v>
      </c>
      <c r="G25" s="37" t="s">
        <v>213</v>
      </c>
      <c r="H25" s="37" t="s">
        <v>296</v>
      </c>
      <c r="I25" s="37" t="s">
        <v>216</v>
      </c>
      <c r="J25" s="37" t="s">
        <v>218</v>
      </c>
      <c r="K25" s="37" t="s">
        <v>239</v>
      </c>
      <c r="L25" s="37" t="s">
        <v>233</v>
      </c>
      <c r="M25" s="38">
        <v>25</v>
      </c>
      <c r="N25" s="45" t="s">
        <v>259</v>
      </c>
      <c r="O25" s="40" t="s">
        <v>156</v>
      </c>
      <c r="P25" s="38">
        <v>50</v>
      </c>
      <c r="Q25" s="45" t="s">
        <v>260</v>
      </c>
      <c r="R25" s="47" t="s">
        <v>111</v>
      </c>
      <c r="S25" s="38">
        <v>80</v>
      </c>
      <c r="T25" s="45" t="s">
        <v>261</v>
      </c>
      <c r="U25" s="47" t="s">
        <v>112</v>
      </c>
      <c r="V25" s="38"/>
      <c r="W25" s="46"/>
      <c r="X25" s="44"/>
      <c r="Y25" s="43"/>
      <c r="Z25" s="44"/>
      <c r="AA25" s="44"/>
      <c r="AB25" s="44"/>
      <c r="AC25" s="44"/>
      <c r="AD25" s="44"/>
      <c r="AE25" s="44"/>
      <c r="AF25" s="44"/>
      <c r="AG25" s="44"/>
      <c r="AH25" s="37" t="s">
        <v>293</v>
      </c>
      <c r="AI25" s="42" t="s">
        <v>42</v>
      </c>
      <c r="AJ25" s="52" t="s">
        <v>241</v>
      </c>
      <c r="AK25" s="145" t="str">
        <f t="shared" si="3"/>
        <v>Grit G-50S LINGUA PORTUGUESA</v>
      </c>
      <c r="AL25" s="140" t="s">
        <v>291</v>
      </c>
      <c r="AM25" s="141" t="str">
        <f t="shared" si="5"/>
        <v>3 Malhas</v>
      </c>
      <c r="AN25" s="141" t="str">
        <f t="shared" si="4"/>
        <v>Grit 3 Malhas</v>
      </c>
      <c r="AO25" s="10"/>
      <c r="AP25" s="30" t="s">
        <v>42</v>
      </c>
      <c r="AQ25" s="31" t="s">
        <v>101</v>
      </c>
      <c r="AR25" s="32" t="s">
        <v>42</v>
      </c>
      <c r="AS25" s="11"/>
      <c r="AT25" s="141" t="s">
        <v>149</v>
      </c>
      <c r="AU25" s="153" t="s">
        <v>226</v>
      </c>
      <c r="AV25" s="153" t="s">
        <v>227</v>
      </c>
      <c r="AW25" s="141"/>
      <c r="AY25" s="155" t="s">
        <v>258</v>
      </c>
      <c r="AZ25" s="141">
        <v>4</v>
      </c>
      <c r="BJ25" s="36" t="str">
        <f t="shared" si="0"/>
        <v>Grit G-25M</v>
      </c>
    </row>
    <row r="26" spans="1:62" ht="15.75" x14ac:dyDescent="0.25">
      <c r="A26" s="36" t="s">
        <v>61</v>
      </c>
      <c r="B26" s="37" t="s">
        <v>41</v>
      </c>
      <c r="C26" s="37" t="str">
        <f t="shared" si="2"/>
        <v>Grit G-80S LINGUA PORTUGUESA</v>
      </c>
      <c r="D26" s="37" t="s">
        <v>208</v>
      </c>
      <c r="E26" s="37" t="s">
        <v>210</v>
      </c>
      <c r="F26" s="37" t="s">
        <v>211</v>
      </c>
      <c r="G26" s="37" t="s">
        <v>213</v>
      </c>
      <c r="H26" s="37" t="s">
        <v>296</v>
      </c>
      <c r="I26" s="37" t="s">
        <v>216</v>
      </c>
      <c r="J26" s="37" t="s">
        <v>218</v>
      </c>
      <c r="K26" s="37" t="s">
        <v>239</v>
      </c>
      <c r="L26" s="37" t="s">
        <v>233</v>
      </c>
      <c r="M26" s="38">
        <v>40</v>
      </c>
      <c r="N26" s="45" t="s">
        <v>246</v>
      </c>
      <c r="O26" s="40" t="s">
        <v>156</v>
      </c>
      <c r="P26" s="38">
        <v>80</v>
      </c>
      <c r="Q26" s="45" t="s">
        <v>261</v>
      </c>
      <c r="R26" s="47" t="s">
        <v>111</v>
      </c>
      <c r="S26" s="38">
        <v>120</v>
      </c>
      <c r="T26" s="45" t="s">
        <v>262</v>
      </c>
      <c r="U26" s="47" t="s">
        <v>112</v>
      </c>
      <c r="V26" s="38"/>
      <c r="W26" s="46"/>
      <c r="X26" s="44"/>
      <c r="Y26" s="43"/>
      <c r="Z26" s="44"/>
      <c r="AA26" s="44"/>
      <c r="AB26" s="44"/>
      <c r="AC26" s="44"/>
      <c r="AD26" s="44"/>
      <c r="AE26" s="44"/>
      <c r="AF26" s="44"/>
      <c r="AG26" s="44"/>
      <c r="AH26" s="37" t="s">
        <v>293</v>
      </c>
      <c r="AI26" s="42" t="s">
        <v>42</v>
      </c>
      <c r="AJ26" s="52" t="s">
        <v>241</v>
      </c>
      <c r="AK26" s="145" t="str">
        <f t="shared" si="3"/>
        <v>Grit G-80S LINGUA PORTUGUESA</v>
      </c>
      <c r="AL26" s="140" t="s">
        <v>291</v>
      </c>
      <c r="AM26" s="141" t="str">
        <f t="shared" si="5"/>
        <v>3 Malhas</v>
      </c>
      <c r="AN26" s="141" t="str">
        <f t="shared" si="4"/>
        <v>Grit 3 Malhas</v>
      </c>
      <c r="AO26" s="10"/>
      <c r="AP26" s="30" t="s">
        <v>42</v>
      </c>
      <c r="AQ26" s="31" t="s">
        <v>101</v>
      </c>
      <c r="AR26" s="32" t="s">
        <v>42</v>
      </c>
      <c r="AS26" s="11"/>
      <c r="AT26" s="141" t="s">
        <v>91</v>
      </c>
      <c r="AU26" s="153" t="s">
        <v>228</v>
      </c>
      <c r="AV26" s="153" t="s">
        <v>229</v>
      </c>
      <c r="AW26" s="141"/>
      <c r="AY26" s="155" t="s">
        <v>286</v>
      </c>
      <c r="AZ26" s="156" t="s">
        <v>285</v>
      </c>
      <c r="BJ26" s="36" t="str">
        <f t="shared" si="0"/>
        <v>Grit G-40M</v>
      </c>
    </row>
    <row r="27" spans="1:62" ht="15.75" x14ac:dyDescent="0.25">
      <c r="A27" s="36" t="s">
        <v>62</v>
      </c>
      <c r="B27" s="37" t="s">
        <v>41</v>
      </c>
      <c r="C27" s="37" t="str">
        <f t="shared" si="2"/>
        <v>Grit G-120S LINGUA PORTUGUESA</v>
      </c>
      <c r="D27" s="37" t="s">
        <v>208</v>
      </c>
      <c r="E27" s="37" t="s">
        <v>210</v>
      </c>
      <c r="F27" s="37" t="s">
        <v>211</v>
      </c>
      <c r="G27" s="37" t="s">
        <v>213</v>
      </c>
      <c r="H27" s="37" t="s">
        <v>296</v>
      </c>
      <c r="I27" s="37" t="s">
        <v>216</v>
      </c>
      <c r="J27" s="37" t="s">
        <v>218</v>
      </c>
      <c r="K27" s="37" t="s">
        <v>239</v>
      </c>
      <c r="L27" s="37" t="s">
        <v>233</v>
      </c>
      <c r="M27" s="38">
        <v>50</v>
      </c>
      <c r="N27" s="45" t="s">
        <v>260</v>
      </c>
      <c r="O27" s="40" t="s">
        <v>156</v>
      </c>
      <c r="P27" s="38">
        <v>120</v>
      </c>
      <c r="Q27" s="45" t="s">
        <v>262</v>
      </c>
      <c r="R27" s="47" t="s">
        <v>113</v>
      </c>
      <c r="S27" s="38">
        <v>200</v>
      </c>
      <c r="T27" s="45" t="s">
        <v>265</v>
      </c>
      <c r="U27" s="47" t="s">
        <v>110</v>
      </c>
      <c r="V27" s="38"/>
      <c r="W27" s="46"/>
      <c r="X27" s="44"/>
      <c r="Y27" s="43"/>
      <c r="Z27" s="44"/>
      <c r="AA27" s="44"/>
      <c r="AB27" s="44"/>
      <c r="AC27" s="44"/>
      <c r="AD27" s="44"/>
      <c r="AE27" s="44"/>
      <c r="AF27" s="44"/>
      <c r="AG27" s="44"/>
      <c r="AH27" s="37" t="s">
        <v>293</v>
      </c>
      <c r="AI27" s="42" t="s">
        <v>42</v>
      </c>
      <c r="AJ27" s="52" t="s">
        <v>241</v>
      </c>
      <c r="AK27" s="145" t="str">
        <f t="shared" si="3"/>
        <v>Grit G-120S LINGUA PORTUGUESA</v>
      </c>
      <c r="AL27" s="140" t="s">
        <v>291</v>
      </c>
      <c r="AM27" s="141" t="str">
        <f t="shared" si="5"/>
        <v>3 Malhas</v>
      </c>
      <c r="AN27" s="141" t="str">
        <f t="shared" si="4"/>
        <v>Grit 3 Malhas</v>
      </c>
      <c r="AO27" s="10"/>
      <c r="AP27" s="30" t="s">
        <v>137</v>
      </c>
      <c r="AQ27" s="31" t="s">
        <v>157</v>
      </c>
      <c r="AR27" s="32" t="s">
        <v>137</v>
      </c>
      <c r="AS27" s="11"/>
      <c r="AT27" s="141" t="s">
        <v>150</v>
      </c>
      <c r="AU27" s="153" t="s">
        <v>231</v>
      </c>
      <c r="AV27" s="153" t="s">
        <v>230</v>
      </c>
      <c r="AW27" s="141"/>
      <c r="AY27" s="155"/>
      <c r="AZ27" s="154"/>
      <c r="BJ27" s="36" t="str">
        <f t="shared" si="0"/>
        <v>Grit G-50M</v>
      </c>
    </row>
    <row r="28" spans="1:62" ht="15.75" x14ac:dyDescent="0.25">
      <c r="A28" s="36" t="s">
        <v>63</v>
      </c>
      <c r="B28" s="37" t="s">
        <v>41</v>
      </c>
      <c r="C28" s="37" t="str">
        <f t="shared" si="2"/>
        <v>Grit G-14M LINGUA PORTUGUESA</v>
      </c>
      <c r="D28" s="37" t="s">
        <v>208</v>
      </c>
      <c r="E28" s="37" t="s">
        <v>210</v>
      </c>
      <c r="F28" s="37" t="s">
        <v>211</v>
      </c>
      <c r="G28" s="37" t="s">
        <v>213</v>
      </c>
      <c r="H28" s="37" t="s">
        <v>296</v>
      </c>
      <c r="I28" s="37" t="s">
        <v>216</v>
      </c>
      <c r="J28" s="37" t="s">
        <v>218</v>
      </c>
      <c r="K28" s="37" t="s">
        <v>239</v>
      </c>
      <c r="L28" s="37" t="s">
        <v>234</v>
      </c>
      <c r="M28" s="38">
        <v>10</v>
      </c>
      <c r="N28" s="124" t="s">
        <v>253</v>
      </c>
      <c r="O28" s="40" t="s">
        <v>156</v>
      </c>
      <c r="P28" s="38">
        <v>14</v>
      </c>
      <c r="Q28" s="124" t="s">
        <v>251</v>
      </c>
      <c r="R28" s="47" t="s">
        <v>43</v>
      </c>
      <c r="S28" s="38">
        <v>16</v>
      </c>
      <c r="T28" s="124" t="s">
        <v>250</v>
      </c>
      <c r="U28" s="47" t="s">
        <v>107</v>
      </c>
      <c r="V28" s="38"/>
      <c r="W28" s="46"/>
      <c r="X28" s="44"/>
      <c r="Y28" s="43"/>
      <c r="Z28" s="44"/>
      <c r="AA28" s="44"/>
      <c r="AB28" s="44"/>
      <c r="AC28" s="44"/>
      <c r="AD28" s="44"/>
      <c r="AE28" s="44"/>
      <c r="AF28" s="44"/>
      <c r="AG28" s="44"/>
      <c r="AH28" s="37" t="s">
        <v>293</v>
      </c>
      <c r="AI28" s="42" t="s">
        <v>42</v>
      </c>
      <c r="AJ28" s="52" t="s">
        <v>241</v>
      </c>
      <c r="AK28" s="145" t="str">
        <f t="shared" si="3"/>
        <v>Grit G-14M LINGUA PORTUGUESA</v>
      </c>
      <c r="AL28" s="140" t="s">
        <v>291</v>
      </c>
      <c r="AM28" s="141" t="str">
        <f t="shared" si="5"/>
        <v>3 Malhas</v>
      </c>
      <c r="AN28" s="141" t="str">
        <f t="shared" si="4"/>
        <v>Grit 3 Malhas</v>
      </c>
      <c r="AO28" s="10"/>
      <c r="AP28" s="30" t="s">
        <v>48</v>
      </c>
      <c r="AQ28" s="31" t="s">
        <v>105</v>
      </c>
      <c r="AR28" s="32" t="s">
        <v>48</v>
      </c>
      <c r="AS28" s="11"/>
      <c r="AT28" s="141" t="s">
        <v>240</v>
      </c>
      <c r="AU28" s="153" t="s">
        <v>205</v>
      </c>
      <c r="AV28" s="153" t="s">
        <v>239</v>
      </c>
      <c r="AW28" s="141"/>
      <c r="AY28" s="154"/>
      <c r="AZ28" s="154"/>
      <c r="BJ28" s="36" t="str">
        <f t="shared" si="0"/>
        <v>Grit G-80M</v>
      </c>
    </row>
    <row r="29" spans="1:62" ht="15.75" x14ac:dyDescent="0.25">
      <c r="A29" s="36" t="s">
        <v>64</v>
      </c>
      <c r="B29" s="37" t="s">
        <v>41</v>
      </c>
      <c r="C29" s="37" t="str">
        <f t="shared" si="2"/>
        <v>Grit G-16M LINGUA PORTUGUESA</v>
      </c>
      <c r="D29" s="37" t="s">
        <v>208</v>
      </c>
      <c r="E29" s="37" t="s">
        <v>210</v>
      </c>
      <c r="F29" s="37" t="s">
        <v>211</v>
      </c>
      <c r="G29" s="37" t="s">
        <v>213</v>
      </c>
      <c r="H29" s="37" t="s">
        <v>296</v>
      </c>
      <c r="I29" s="37" t="s">
        <v>216</v>
      </c>
      <c r="J29" s="37" t="s">
        <v>218</v>
      </c>
      <c r="K29" s="37" t="s">
        <v>239</v>
      </c>
      <c r="L29" s="37" t="s">
        <v>234</v>
      </c>
      <c r="M29" s="38">
        <v>12</v>
      </c>
      <c r="N29" s="124" t="s">
        <v>252</v>
      </c>
      <c r="O29" s="40" t="s">
        <v>156</v>
      </c>
      <c r="P29" s="38">
        <v>16</v>
      </c>
      <c r="Q29" s="124" t="s">
        <v>250</v>
      </c>
      <c r="R29" s="47" t="s">
        <v>108</v>
      </c>
      <c r="S29" s="38">
        <v>18</v>
      </c>
      <c r="T29" s="124" t="s">
        <v>249</v>
      </c>
      <c r="U29" s="47" t="s">
        <v>103</v>
      </c>
      <c r="V29" s="38"/>
      <c r="W29" s="46"/>
      <c r="X29" s="44"/>
      <c r="Y29" s="43"/>
      <c r="Z29" s="44"/>
      <c r="AA29" s="44"/>
      <c r="AB29" s="44"/>
      <c r="AC29" s="44"/>
      <c r="AD29" s="44"/>
      <c r="AE29" s="44"/>
      <c r="AF29" s="44"/>
      <c r="AG29" s="44"/>
      <c r="AH29" s="37" t="s">
        <v>293</v>
      </c>
      <c r="AI29" s="42" t="s">
        <v>42</v>
      </c>
      <c r="AJ29" s="52" t="s">
        <v>241</v>
      </c>
      <c r="AK29" s="145" t="str">
        <f t="shared" si="3"/>
        <v>Grit G-16M LINGUA PORTUGUESA</v>
      </c>
      <c r="AL29" s="140" t="s">
        <v>291</v>
      </c>
      <c r="AM29" s="141" t="str">
        <f t="shared" si="5"/>
        <v>3 Malhas</v>
      </c>
      <c r="AN29" s="141" t="str">
        <f t="shared" si="4"/>
        <v>Grit 3 Malhas</v>
      </c>
      <c r="AO29" s="10"/>
      <c r="AP29" s="30" t="s">
        <v>21</v>
      </c>
      <c r="AQ29" s="31" t="s">
        <v>181</v>
      </c>
      <c r="AR29" s="32" t="s">
        <v>182</v>
      </c>
      <c r="AS29" s="11"/>
      <c r="AT29" s="141" t="s">
        <v>312</v>
      </c>
      <c r="AU29" s="153" t="s">
        <v>158</v>
      </c>
      <c r="AV29" s="153" t="s">
        <v>242</v>
      </c>
      <c r="AW29" s="141"/>
      <c r="AY29" s="154"/>
      <c r="AZ29" s="154"/>
      <c r="BJ29" s="36" t="str">
        <f t="shared" si="0"/>
        <v>Grit G-120M</v>
      </c>
    </row>
    <row r="30" spans="1:62" ht="15.75" x14ac:dyDescent="0.25">
      <c r="A30" s="36" t="s">
        <v>65</v>
      </c>
      <c r="B30" s="37" t="s">
        <v>41</v>
      </c>
      <c r="C30" s="37" t="str">
        <f t="shared" si="2"/>
        <v>Grit G-18M LINGUA PORTUGUESA</v>
      </c>
      <c r="D30" s="37" t="s">
        <v>208</v>
      </c>
      <c r="E30" s="37" t="s">
        <v>210</v>
      </c>
      <c r="F30" s="37" t="s">
        <v>211</v>
      </c>
      <c r="G30" s="37" t="s">
        <v>213</v>
      </c>
      <c r="H30" s="37" t="s">
        <v>296</v>
      </c>
      <c r="I30" s="37" t="s">
        <v>216</v>
      </c>
      <c r="J30" s="37" t="s">
        <v>218</v>
      </c>
      <c r="K30" s="37" t="s">
        <v>239</v>
      </c>
      <c r="L30" s="37" t="s">
        <v>234</v>
      </c>
      <c r="M30" s="38">
        <v>14</v>
      </c>
      <c r="N30" s="124" t="s">
        <v>251</v>
      </c>
      <c r="O30" s="40" t="s">
        <v>156</v>
      </c>
      <c r="P30" s="38">
        <v>18</v>
      </c>
      <c r="Q30" s="124" t="s">
        <v>249</v>
      </c>
      <c r="R30" s="47" t="s">
        <v>108</v>
      </c>
      <c r="S30" s="38">
        <v>25</v>
      </c>
      <c r="T30" s="45" t="s">
        <v>259</v>
      </c>
      <c r="U30" s="47" t="s">
        <v>103</v>
      </c>
      <c r="V30" s="38"/>
      <c r="W30" s="46"/>
      <c r="X30" s="44"/>
      <c r="Y30" s="43"/>
      <c r="Z30" s="44"/>
      <c r="AA30" s="44"/>
      <c r="AB30" s="44"/>
      <c r="AC30" s="44"/>
      <c r="AD30" s="44"/>
      <c r="AE30" s="44"/>
      <c r="AF30" s="44"/>
      <c r="AG30" s="44"/>
      <c r="AH30" s="37" t="s">
        <v>293</v>
      </c>
      <c r="AI30" s="42" t="s">
        <v>42</v>
      </c>
      <c r="AJ30" s="52" t="s">
        <v>241</v>
      </c>
      <c r="AK30" s="145" t="str">
        <f t="shared" si="3"/>
        <v>Grit G-18M LINGUA PORTUGUESA</v>
      </c>
      <c r="AL30" s="140" t="s">
        <v>291</v>
      </c>
      <c r="AM30" s="141" t="str">
        <f t="shared" si="5"/>
        <v>3 Malhas</v>
      </c>
      <c r="AN30" s="141" t="str">
        <f t="shared" si="4"/>
        <v>Grit 3 Malhas</v>
      </c>
      <c r="AO30" s="10"/>
      <c r="AP30" s="30" t="s">
        <v>21</v>
      </c>
      <c r="AQ30" s="31" t="s">
        <v>181</v>
      </c>
      <c r="AR30" s="32" t="s">
        <v>182</v>
      </c>
      <c r="AS30" s="11"/>
      <c r="AT30" s="141" t="s">
        <v>317</v>
      </c>
      <c r="AU30" s="153" t="s">
        <v>318</v>
      </c>
      <c r="AV30" s="153" t="s">
        <v>319</v>
      </c>
      <c r="AW30" s="141"/>
      <c r="AY30" s="154"/>
      <c r="AZ30" s="154"/>
      <c r="BJ30" s="36" t="str">
        <f t="shared" si="0"/>
        <v>Grit G-14L</v>
      </c>
    </row>
    <row r="31" spans="1:62" ht="15.75" x14ac:dyDescent="0.25">
      <c r="A31" s="36" t="s">
        <v>66</v>
      </c>
      <c r="B31" s="37" t="s">
        <v>41</v>
      </c>
      <c r="C31" s="37" t="str">
        <f t="shared" si="2"/>
        <v>Grit G-25M LINGUA PORTUGUESA</v>
      </c>
      <c r="D31" s="37" t="s">
        <v>208</v>
      </c>
      <c r="E31" s="37" t="s">
        <v>210</v>
      </c>
      <c r="F31" s="37" t="s">
        <v>211</v>
      </c>
      <c r="G31" s="37" t="s">
        <v>213</v>
      </c>
      <c r="H31" s="37" t="s">
        <v>296</v>
      </c>
      <c r="I31" s="37" t="s">
        <v>216</v>
      </c>
      <c r="J31" s="37" t="s">
        <v>218</v>
      </c>
      <c r="K31" s="37" t="s">
        <v>239</v>
      </c>
      <c r="L31" s="37" t="s">
        <v>234</v>
      </c>
      <c r="M31" s="38">
        <v>16</v>
      </c>
      <c r="N31" s="124" t="s">
        <v>250</v>
      </c>
      <c r="O31" s="40" t="s">
        <v>156</v>
      </c>
      <c r="P31" s="38">
        <v>25</v>
      </c>
      <c r="Q31" s="45" t="s">
        <v>259</v>
      </c>
      <c r="R31" s="47" t="s">
        <v>109</v>
      </c>
      <c r="S31" s="38">
        <v>40</v>
      </c>
      <c r="T31" s="45" t="s">
        <v>246</v>
      </c>
      <c r="U31" s="47" t="s">
        <v>43</v>
      </c>
      <c r="V31" s="38"/>
      <c r="W31" s="46"/>
      <c r="X31" s="44"/>
      <c r="Y31" s="43"/>
      <c r="Z31" s="44"/>
      <c r="AA31" s="44"/>
      <c r="AB31" s="44"/>
      <c r="AC31" s="44"/>
      <c r="AD31" s="44"/>
      <c r="AE31" s="44"/>
      <c r="AF31" s="44"/>
      <c r="AG31" s="44"/>
      <c r="AH31" s="37" t="s">
        <v>293</v>
      </c>
      <c r="AI31" s="42" t="s">
        <v>42</v>
      </c>
      <c r="AJ31" s="52" t="s">
        <v>241</v>
      </c>
      <c r="AK31" s="145" t="str">
        <f t="shared" si="3"/>
        <v>Grit G-25M LINGUA PORTUGUESA</v>
      </c>
      <c r="AL31" s="140" t="s">
        <v>291</v>
      </c>
      <c r="AM31" s="141" t="str">
        <f t="shared" si="5"/>
        <v>3 Malhas</v>
      </c>
      <c r="AN31" s="141" t="str">
        <f t="shared" si="4"/>
        <v>Grit 3 Malhas</v>
      </c>
      <c r="AO31" s="10"/>
      <c r="AP31" s="30" t="s">
        <v>191</v>
      </c>
      <c r="AQ31" s="31" t="s">
        <v>192</v>
      </c>
      <c r="AR31" s="32" t="s">
        <v>193</v>
      </c>
      <c r="AS31" s="11"/>
      <c r="AU31" s="158"/>
      <c r="AV31" s="158"/>
      <c r="AY31" s="154"/>
      <c r="AZ31" s="154"/>
      <c r="BJ31" s="36" t="str">
        <f t="shared" si="0"/>
        <v>Grit G-16L</v>
      </c>
    </row>
    <row r="32" spans="1:62" ht="15.75" x14ac:dyDescent="0.25">
      <c r="A32" s="36" t="s">
        <v>67</v>
      </c>
      <c r="B32" s="37" t="s">
        <v>41</v>
      </c>
      <c r="C32" s="37" t="str">
        <f t="shared" si="2"/>
        <v>Grit G-40M LINGUA PORTUGUESA</v>
      </c>
      <c r="D32" s="37" t="s">
        <v>208</v>
      </c>
      <c r="E32" s="37" t="s">
        <v>210</v>
      </c>
      <c r="F32" s="37" t="s">
        <v>211</v>
      </c>
      <c r="G32" s="37" t="s">
        <v>213</v>
      </c>
      <c r="H32" s="37" t="s">
        <v>296</v>
      </c>
      <c r="I32" s="37" t="s">
        <v>216</v>
      </c>
      <c r="J32" s="37" t="s">
        <v>218</v>
      </c>
      <c r="K32" s="37" t="s">
        <v>239</v>
      </c>
      <c r="L32" s="37" t="s">
        <v>234</v>
      </c>
      <c r="M32" s="38">
        <v>18</v>
      </c>
      <c r="N32" s="124" t="s">
        <v>249</v>
      </c>
      <c r="O32" s="40" t="s">
        <v>156</v>
      </c>
      <c r="P32" s="38">
        <v>40</v>
      </c>
      <c r="Q32" s="45" t="s">
        <v>246</v>
      </c>
      <c r="R32" s="47" t="s">
        <v>110</v>
      </c>
      <c r="S32" s="38">
        <v>50</v>
      </c>
      <c r="T32" s="45" t="s">
        <v>260</v>
      </c>
      <c r="U32" s="47" t="s">
        <v>43</v>
      </c>
      <c r="V32" s="38"/>
      <c r="W32" s="46"/>
      <c r="X32" s="44"/>
      <c r="Y32" s="43"/>
      <c r="Z32" s="44"/>
      <c r="AA32" s="44"/>
      <c r="AB32" s="44"/>
      <c r="AC32" s="44"/>
      <c r="AD32" s="44"/>
      <c r="AE32" s="44"/>
      <c r="AF32" s="44"/>
      <c r="AG32" s="44"/>
      <c r="AH32" s="37" t="s">
        <v>293</v>
      </c>
      <c r="AI32" s="42" t="s">
        <v>42</v>
      </c>
      <c r="AJ32" s="52" t="s">
        <v>241</v>
      </c>
      <c r="AK32" s="145" t="str">
        <f t="shared" si="3"/>
        <v>Grit G-40M LINGUA PORTUGUESA</v>
      </c>
      <c r="AL32" s="140" t="s">
        <v>291</v>
      </c>
      <c r="AM32" s="141" t="str">
        <f t="shared" si="5"/>
        <v>3 Malhas</v>
      </c>
      <c r="AN32" s="141" t="str">
        <f t="shared" si="4"/>
        <v>Grit 3 Malhas</v>
      </c>
      <c r="AO32" s="10"/>
      <c r="AP32" s="30" t="s">
        <v>167</v>
      </c>
      <c r="AQ32" s="31" t="s">
        <v>195</v>
      </c>
      <c r="AR32" s="32" t="s">
        <v>194</v>
      </c>
      <c r="AS32" s="11"/>
      <c r="AU32" s="158"/>
      <c r="AV32" s="158"/>
      <c r="AY32" s="154"/>
      <c r="AZ32" s="154"/>
      <c r="BJ32" s="36" t="str">
        <f t="shared" si="0"/>
        <v>Grit G-18L</v>
      </c>
    </row>
    <row r="33" spans="1:62" ht="15.75" x14ac:dyDescent="0.25">
      <c r="A33" s="36" t="s">
        <v>68</v>
      </c>
      <c r="B33" s="37" t="s">
        <v>41</v>
      </c>
      <c r="C33" s="37" t="str">
        <f t="shared" si="2"/>
        <v>Grit G-50M LINGUA PORTUGUESA</v>
      </c>
      <c r="D33" s="37" t="s">
        <v>208</v>
      </c>
      <c r="E33" s="37" t="s">
        <v>210</v>
      </c>
      <c r="F33" s="37" t="s">
        <v>211</v>
      </c>
      <c r="G33" s="37" t="s">
        <v>213</v>
      </c>
      <c r="H33" s="37" t="s">
        <v>296</v>
      </c>
      <c r="I33" s="37" t="s">
        <v>216</v>
      </c>
      <c r="J33" s="37" t="s">
        <v>218</v>
      </c>
      <c r="K33" s="37" t="s">
        <v>239</v>
      </c>
      <c r="L33" s="37" t="s">
        <v>234</v>
      </c>
      <c r="M33" s="38">
        <v>25</v>
      </c>
      <c r="N33" s="45" t="s">
        <v>259</v>
      </c>
      <c r="O33" s="40" t="s">
        <v>156</v>
      </c>
      <c r="P33" s="38">
        <v>50</v>
      </c>
      <c r="Q33" s="45" t="s">
        <v>260</v>
      </c>
      <c r="R33" s="47" t="s">
        <v>111</v>
      </c>
      <c r="S33" s="38">
        <v>80</v>
      </c>
      <c r="T33" s="45" t="s">
        <v>261</v>
      </c>
      <c r="U33" s="47" t="s">
        <v>112</v>
      </c>
      <c r="V33" s="38"/>
      <c r="W33" s="46"/>
      <c r="X33" s="44"/>
      <c r="Y33" s="43"/>
      <c r="Z33" s="44"/>
      <c r="AA33" s="44"/>
      <c r="AB33" s="44"/>
      <c r="AC33" s="44"/>
      <c r="AD33" s="44"/>
      <c r="AE33" s="44"/>
      <c r="AF33" s="44"/>
      <c r="AG33" s="44"/>
      <c r="AH33" s="37" t="s">
        <v>293</v>
      </c>
      <c r="AI33" s="42" t="s">
        <v>42</v>
      </c>
      <c r="AJ33" s="52" t="s">
        <v>241</v>
      </c>
      <c r="AK33" s="145" t="str">
        <f t="shared" si="3"/>
        <v>Grit G-50M LINGUA PORTUGUESA</v>
      </c>
      <c r="AL33" s="140" t="s">
        <v>291</v>
      </c>
      <c r="AM33" s="141" t="str">
        <f t="shared" si="5"/>
        <v>3 Malhas</v>
      </c>
      <c r="AN33" s="141" t="str">
        <f t="shared" si="4"/>
        <v>Grit 3 Malhas</v>
      </c>
      <c r="AO33" s="10"/>
      <c r="AP33" s="125"/>
      <c r="AQ33" s="126"/>
      <c r="AR33" s="127"/>
      <c r="AS33" s="11"/>
      <c r="AU33" s="158"/>
      <c r="AV33" s="158"/>
      <c r="AY33" s="154"/>
      <c r="AZ33" s="154"/>
      <c r="BJ33" s="36" t="str">
        <f t="shared" si="0"/>
        <v>Grit G-25L</v>
      </c>
    </row>
    <row r="34" spans="1:62" ht="15.75" x14ac:dyDescent="0.25">
      <c r="A34" s="36" t="s">
        <v>69</v>
      </c>
      <c r="B34" s="37" t="s">
        <v>41</v>
      </c>
      <c r="C34" s="37" t="str">
        <f t="shared" si="2"/>
        <v>Grit G-80M LINGUA PORTUGUESA</v>
      </c>
      <c r="D34" s="37" t="s">
        <v>208</v>
      </c>
      <c r="E34" s="37" t="s">
        <v>210</v>
      </c>
      <c r="F34" s="37" t="s">
        <v>211</v>
      </c>
      <c r="G34" s="37" t="s">
        <v>213</v>
      </c>
      <c r="H34" s="37" t="s">
        <v>296</v>
      </c>
      <c r="I34" s="37" t="s">
        <v>216</v>
      </c>
      <c r="J34" s="37" t="s">
        <v>218</v>
      </c>
      <c r="K34" s="37" t="s">
        <v>239</v>
      </c>
      <c r="L34" s="37" t="s">
        <v>234</v>
      </c>
      <c r="M34" s="38">
        <v>40</v>
      </c>
      <c r="N34" s="45" t="s">
        <v>246</v>
      </c>
      <c r="O34" s="40" t="s">
        <v>156</v>
      </c>
      <c r="P34" s="38">
        <v>80</v>
      </c>
      <c r="Q34" s="45" t="s">
        <v>261</v>
      </c>
      <c r="R34" s="47" t="s">
        <v>111</v>
      </c>
      <c r="S34" s="38">
        <v>120</v>
      </c>
      <c r="T34" s="45" t="s">
        <v>262</v>
      </c>
      <c r="U34" s="47" t="s">
        <v>112</v>
      </c>
      <c r="V34" s="38"/>
      <c r="W34" s="46"/>
      <c r="X34" s="44"/>
      <c r="Y34" s="43"/>
      <c r="Z34" s="44"/>
      <c r="AA34" s="44"/>
      <c r="AB34" s="44"/>
      <c r="AC34" s="44"/>
      <c r="AD34" s="44"/>
      <c r="AE34" s="44"/>
      <c r="AF34" s="44"/>
      <c r="AG34" s="44"/>
      <c r="AH34" s="37" t="s">
        <v>293</v>
      </c>
      <c r="AI34" s="42" t="s">
        <v>42</v>
      </c>
      <c r="AJ34" s="52" t="s">
        <v>241</v>
      </c>
      <c r="AK34" s="145" t="str">
        <f t="shared" si="3"/>
        <v>Grit G-80M LINGUA PORTUGUESA</v>
      </c>
      <c r="AL34" s="140" t="s">
        <v>291</v>
      </c>
      <c r="AM34" s="141" t="str">
        <f t="shared" si="5"/>
        <v>3 Malhas</v>
      </c>
      <c r="AN34" s="141" t="str">
        <f t="shared" si="4"/>
        <v>Grit 3 Malhas</v>
      </c>
      <c r="AO34" s="10"/>
      <c r="AP34" s="30"/>
      <c r="AQ34" s="31"/>
      <c r="AR34" s="32"/>
      <c r="AS34" s="11"/>
      <c r="AT34" s="253" t="s">
        <v>305</v>
      </c>
      <c r="AU34" s="254"/>
      <c r="AV34" s="254"/>
      <c r="AW34" s="255"/>
      <c r="AY34" s="154"/>
      <c r="AZ34" s="154"/>
      <c r="BJ34" s="36" t="str">
        <f t="shared" si="0"/>
        <v>Grit G-40L</v>
      </c>
    </row>
    <row r="35" spans="1:62" ht="15.75" x14ac:dyDescent="0.25">
      <c r="A35" s="36" t="s">
        <v>70</v>
      </c>
      <c r="B35" s="37" t="s">
        <v>41</v>
      </c>
      <c r="C35" s="37" t="str">
        <f t="shared" si="2"/>
        <v>Grit G-120M LINGUA PORTUGUESA</v>
      </c>
      <c r="D35" s="37" t="s">
        <v>208</v>
      </c>
      <c r="E35" s="37" t="s">
        <v>210</v>
      </c>
      <c r="F35" s="37" t="s">
        <v>211</v>
      </c>
      <c r="G35" s="37" t="s">
        <v>213</v>
      </c>
      <c r="H35" s="37" t="s">
        <v>296</v>
      </c>
      <c r="I35" s="37" t="s">
        <v>216</v>
      </c>
      <c r="J35" s="37" t="s">
        <v>218</v>
      </c>
      <c r="K35" s="37" t="s">
        <v>239</v>
      </c>
      <c r="L35" s="37" t="s">
        <v>234</v>
      </c>
      <c r="M35" s="38">
        <v>50</v>
      </c>
      <c r="N35" s="45" t="s">
        <v>260</v>
      </c>
      <c r="O35" s="40" t="s">
        <v>156</v>
      </c>
      <c r="P35" s="38">
        <v>120</v>
      </c>
      <c r="Q35" s="45" t="s">
        <v>262</v>
      </c>
      <c r="R35" s="47" t="s">
        <v>113</v>
      </c>
      <c r="S35" s="38">
        <v>200</v>
      </c>
      <c r="T35" s="45" t="s">
        <v>265</v>
      </c>
      <c r="U35" s="47" t="s">
        <v>110</v>
      </c>
      <c r="V35" s="38"/>
      <c r="W35" s="46"/>
      <c r="X35" s="44"/>
      <c r="Y35" s="43"/>
      <c r="Z35" s="44"/>
      <c r="AA35" s="44"/>
      <c r="AB35" s="44"/>
      <c r="AC35" s="44"/>
      <c r="AD35" s="44"/>
      <c r="AE35" s="44"/>
      <c r="AF35" s="44"/>
      <c r="AG35" s="44"/>
      <c r="AH35" s="37" t="s">
        <v>293</v>
      </c>
      <c r="AI35" s="42" t="s">
        <v>42</v>
      </c>
      <c r="AJ35" s="52" t="s">
        <v>241</v>
      </c>
      <c r="AK35" s="145" t="str">
        <f t="shared" si="3"/>
        <v>Grit G-120M LINGUA PORTUGUESA</v>
      </c>
      <c r="AL35" s="140" t="s">
        <v>291</v>
      </c>
      <c r="AM35" s="141" t="str">
        <f t="shared" si="5"/>
        <v>3 Malhas</v>
      </c>
      <c r="AN35" s="141" t="str">
        <f t="shared" si="4"/>
        <v>Grit 3 Malhas</v>
      </c>
      <c r="AO35" s="10"/>
      <c r="AP35" s="30"/>
      <c r="AQ35" s="31"/>
      <c r="AR35" s="32"/>
      <c r="AS35" s="11"/>
      <c r="AT35" s="256"/>
      <c r="AU35" s="257"/>
      <c r="AV35" s="257"/>
      <c r="AW35" s="257"/>
      <c r="AY35" s="154"/>
      <c r="AZ35" s="154"/>
      <c r="BJ35" s="36" t="str">
        <f t="shared" si="0"/>
        <v>Grit G-50L</v>
      </c>
    </row>
    <row r="36" spans="1:62" ht="26.25" x14ac:dyDescent="0.25">
      <c r="A36" s="36" t="s">
        <v>71</v>
      </c>
      <c r="B36" s="37" t="s">
        <v>41</v>
      </c>
      <c r="C36" s="37" t="str">
        <f t="shared" si="2"/>
        <v>Grit G-14L LINGUA PORTUGUESA</v>
      </c>
      <c r="D36" s="37" t="s">
        <v>208</v>
      </c>
      <c r="E36" s="37" t="s">
        <v>210</v>
      </c>
      <c r="F36" s="37" t="s">
        <v>211</v>
      </c>
      <c r="G36" s="37" t="s">
        <v>213</v>
      </c>
      <c r="H36" s="37" t="s">
        <v>296</v>
      </c>
      <c r="I36" s="37" t="s">
        <v>216</v>
      </c>
      <c r="J36" s="37" t="s">
        <v>218</v>
      </c>
      <c r="K36" s="37" t="s">
        <v>239</v>
      </c>
      <c r="L36" s="37" t="s">
        <v>235</v>
      </c>
      <c r="M36" s="38">
        <v>10</v>
      </c>
      <c r="N36" s="124" t="s">
        <v>253</v>
      </c>
      <c r="O36" s="40" t="s">
        <v>156</v>
      </c>
      <c r="P36" s="38">
        <v>14</v>
      </c>
      <c r="Q36" s="124" t="s">
        <v>251</v>
      </c>
      <c r="R36" s="47" t="s">
        <v>43</v>
      </c>
      <c r="S36" s="38">
        <v>16</v>
      </c>
      <c r="T36" s="124" t="s">
        <v>250</v>
      </c>
      <c r="U36" s="47" t="s">
        <v>107</v>
      </c>
      <c r="V36" s="38"/>
      <c r="W36" s="46"/>
      <c r="X36" s="44"/>
      <c r="Y36" s="43"/>
      <c r="Z36" s="44"/>
      <c r="AA36" s="44"/>
      <c r="AB36" s="44"/>
      <c r="AC36" s="44"/>
      <c r="AD36" s="44"/>
      <c r="AE36" s="44"/>
      <c r="AF36" s="44"/>
      <c r="AG36" s="44"/>
      <c r="AH36" s="37" t="s">
        <v>293</v>
      </c>
      <c r="AI36" s="42" t="s">
        <v>48</v>
      </c>
      <c r="AJ36" s="52" t="s">
        <v>241</v>
      </c>
      <c r="AK36" s="145" t="str">
        <f t="shared" ref="AK36:AK65" si="6">C36</f>
        <v>Grit G-14L LINGUA PORTUGUESA</v>
      </c>
      <c r="AL36" s="140" t="s">
        <v>291</v>
      </c>
      <c r="AM36" s="141" t="str">
        <f t="shared" ref="AM36:AM51" si="7">IF(COUNTBLANK(M36:AG36)=15,"2 Malhas",IF(COUNTBLANK(M36:AG36)=12,"3 Malhas",IF(COUNTBLANK(M36:AG36)=9,"4 Malhas",IF(COUNTBLANK(M36:AG36)=6,"5 Malhas",IF(COUNTBLANK(M36:AG36)=3,"6 Malhas",IF(COUNTBLANK(M36:AG36)=0,"7 Malhas",))))))</f>
        <v>3 Malhas</v>
      </c>
      <c r="AN36" s="141" t="str">
        <f t="shared" ref="AN36:AN65" si="8">CONCATENATE(AL36," ",AM36)</f>
        <v>Grit 3 Malhas</v>
      </c>
      <c r="AO36" s="10"/>
      <c r="AP36" s="30"/>
      <c r="AQ36" s="31"/>
      <c r="AR36" s="32"/>
      <c r="AS36" s="11"/>
      <c r="AT36" s="141"/>
      <c r="AU36" s="152"/>
      <c r="AV36" s="152"/>
      <c r="AW36" s="152"/>
      <c r="AY36" s="154"/>
      <c r="AZ36" s="154"/>
      <c r="BJ36" s="36" t="str">
        <f t="shared" si="0"/>
        <v>Grit G-80L</v>
      </c>
    </row>
    <row r="37" spans="1:62" ht="15.75" x14ac:dyDescent="0.25">
      <c r="A37" s="36" t="s">
        <v>72</v>
      </c>
      <c r="B37" s="37" t="s">
        <v>41</v>
      </c>
      <c r="C37" s="37" t="str">
        <f t="shared" si="2"/>
        <v>Grit G-16L LINGUA PORTUGUESA</v>
      </c>
      <c r="D37" s="37" t="s">
        <v>208</v>
      </c>
      <c r="E37" s="37" t="s">
        <v>210</v>
      </c>
      <c r="F37" s="37" t="s">
        <v>211</v>
      </c>
      <c r="G37" s="37" t="s">
        <v>213</v>
      </c>
      <c r="H37" s="37" t="s">
        <v>296</v>
      </c>
      <c r="I37" s="37" t="s">
        <v>216</v>
      </c>
      <c r="J37" s="37" t="s">
        <v>218</v>
      </c>
      <c r="K37" s="37" t="s">
        <v>239</v>
      </c>
      <c r="L37" s="37" t="s">
        <v>235</v>
      </c>
      <c r="M37" s="38">
        <v>12</v>
      </c>
      <c r="N37" s="124" t="s">
        <v>252</v>
      </c>
      <c r="O37" s="40" t="s">
        <v>156</v>
      </c>
      <c r="P37" s="38">
        <v>16</v>
      </c>
      <c r="Q37" s="124" t="s">
        <v>250</v>
      </c>
      <c r="R37" s="47" t="s">
        <v>108</v>
      </c>
      <c r="S37" s="38">
        <v>18</v>
      </c>
      <c r="T37" s="124" t="s">
        <v>249</v>
      </c>
      <c r="U37" s="47" t="s">
        <v>103</v>
      </c>
      <c r="V37" s="38"/>
      <c r="W37" s="46"/>
      <c r="X37" s="44"/>
      <c r="Y37" s="43"/>
      <c r="Z37" s="44"/>
      <c r="AA37" s="44"/>
      <c r="AB37" s="44"/>
      <c r="AC37" s="44"/>
      <c r="AD37" s="44"/>
      <c r="AE37" s="44"/>
      <c r="AF37" s="44"/>
      <c r="AG37" s="44"/>
      <c r="AH37" s="37" t="s">
        <v>293</v>
      </c>
      <c r="AI37" s="42" t="s">
        <v>48</v>
      </c>
      <c r="AJ37" s="52" t="s">
        <v>241</v>
      </c>
      <c r="AK37" s="145" t="str">
        <f t="shared" si="6"/>
        <v>Grit G-16L LINGUA PORTUGUESA</v>
      </c>
      <c r="AL37" s="140" t="s">
        <v>291</v>
      </c>
      <c r="AM37" s="141" t="str">
        <f t="shared" si="7"/>
        <v>3 Malhas</v>
      </c>
      <c r="AN37" s="141" t="str">
        <f t="shared" si="8"/>
        <v>Grit 3 Malhas</v>
      </c>
      <c r="AO37" s="10"/>
      <c r="AP37" s="30"/>
      <c r="AQ37" s="31"/>
      <c r="AR37" s="32"/>
      <c r="AS37" s="11"/>
      <c r="AT37" s="153" t="s">
        <v>307</v>
      </c>
      <c r="AU37" s="153" t="s">
        <v>268</v>
      </c>
      <c r="AV37" s="153" t="s">
        <v>269</v>
      </c>
      <c r="AW37" s="153"/>
      <c r="AY37" s="154"/>
      <c r="AZ37" s="154"/>
      <c r="BJ37" s="36" t="str">
        <f t="shared" si="0"/>
        <v>Grit G-120L</v>
      </c>
    </row>
    <row r="38" spans="1:62" ht="15.75" x14ac:dyDescent="0.25">
      <c r="A38" s="36" t="s">
        <v>73</v>
      </c>
      <c r="B38" s="37" t="s">
        <v>41</v>
      </c>
      <c r="C38" s="37" t="str">
        <f t="shared" si="2"/>
        <v>Grit G-18L LINGUA PORTUGUESA</v>
      </c>
      <c r="D38" s="37" t="s">
        <v>208</v>
      </c>
      <c r="E38" s="37" t="s">
        <v>210</v>
      </c>
      <c r="F38" s="37" t="s">
        <v>211</v>
      </c>
      <c r="G38" s="37" t="s">
        <v>213</v>
      </c>
      <c r="H38" s="37" t="s">
        <v>296</v>
      </c>
      <c r="I38" s="37" t="s">
        <v>216</v>
      </c>
      <c r="J38" s="37" t="s">
        <v>218</v>
      </c>
      <c r="K38" s="37" t="s">
        <v>239</v>
      </c>
      <c r="L38" s="37" t="s">
        <v>235</v>
      </c>
      <c r="M38" s="38">
        <v>14</v>
      </c>
      <c r="N38" s="124" t="s">
        <v>251</v>
      </c>
      <c r="O38" s="40" t="s">
        <v>156</v>
      </c>
      <c r="P38" s="38">
        <v>18</v>
      </c>
      <c r="Q38" s="124" t="s">
        <v>249</v>
      </c>
      <c r="R38" s="47" t="s">
        <v>108</v>
      </c>
      <c r="S38" s="38">
        <v>25</v>
      </c>
      <c r="T38" s="45" t="s">
        <v>259</v>
      </c>
      <c r="U38" s="47" t="s">
        <v>103</v>
      </c>
      <c r="V38" s="38"/>
      <c r="W38" s="46"/>
      <c r="X38" s="44"/>
      <c r="Y38" s="43"/>
      <c r="Z38" s="44"/>
      <c r="AA38" s="44"/>
      <c r="AB38" s="44"/>
      <c r="AC38" s="44"/>
      <c r="AD38" s="44"/>
      <c r="AE38" s="44"/>
      <c r="AF38" s="44"/>
      <c r="AG38" s="44"/>
      <c r="AH38" s="37" t="s">
        <v>293</v>
      </c>
      <c r="AI38" s="42" t="s">
        <v>48</v>
      </c>
      <c r="AJ38" s="52" t="s">
        <v>241</v>
      </c>
      <c r="AK38" s="145" t="str">
        <f t="shared" si="6"/>
        <v>Grit G-18L LINGUA PORTUGUESA</v>
      </c>
      <c r="AL38" s="140" t="s">
        <v>291</v>
      </c>
      <c r="AM38" s="141" t="str">
        <f t="shared" si="7"/>
        <v>3 Malhas</v>
      </c>
      <c r="AN38" s="141" t="str">
        <f t="shared" si="8"/>
        <v>Grit 3 Malhas</v>
      </c>
      <c r="AO38" s="10"/>
      <c r="AP38" s="30"/>
      <c r="AQ38" s="31"/>
      <c r="AR38" s="32"/>
      <c r="AS38" s="11"/>
      <c r="AT38" s="153" t="s">
        <v>24</v>
      </c>
      <c r="AU38" s="153" t="s">
        <v>270</v>
      </c>
      <c r="AV38" s="153" t="s">
        <v>271</v>
      </c>
      <c r="AW38" s="141" t="s">
        <v>160</v>
      </c>
      <c r="AY38" s="154"/>
      <c r="AZ38" s="154"/>
      <c r="BJ38" s="36" t="str">
        <f t="shared" si="0"/>
        <v>Grit G-14H</v>
      </c>
    </row>
    <row r="39" spans="1:62" ht="15.75" x14ac:dyDescent="0.25">
      <c r="A39" s="36" t="s">
        <v>74</v>
      </c>
      <c r="B39" s="37" t="s">
        <v>41</v>
      </c>
      <c r="C39" s="37" t="str">
        <f t="shared" si="2"/>
        <v>Grit G-25L LINGUA PORTUGUESA</v>
      </c>
      <c r="D39" s="37" t="s">
        <v>208</v>
      </c>
      <c r="E39" s="37" t="s">
        <v>210</v>
      </c>
      <c r="F39" s="37" t="s">
        <v>211</v>
      </c>
      <c r="G39" s="37" t="s">
        <v>213</v>
      </c>
      <c r="H39" s="37" t="s">
        <v>296</v>
      </c>
      <c r="I39" s="37" t="s">
        <v>216</v>
      </c>
      <c r="J39" s="37" t="s">
        <v>218</v>
      </c>
      <c r="K39" s="37" t="s">
        <v>239</v>
      </c>
      <c r="L39" s="37" t="s">
        <v>235</v>
      </c>
      <c r="M39" s="38">
        <v>16</v>
      </c>
      <c r="N39" s="124" t="s">
        <v>250</v>
      </c>
      <c r="O39" s="40" t="s">
        <v>156</v>
      </c>
      <c r="P39" s="38">
        <v>25</v>
      </c>
      <c r="Q39" s="45" t="s">
        <v>259</v>
      </c>
      <c r="R39" s="47" t="s">
        <v>109</v>
      </c>
      <c r="S39" s="38">
        <v>40</v>
      </c>
      <c r="T39" s="45" t="s">
        <v>246</v>
      </c>
      <c r="U39" s="47" t="s">
        <v>43</v>
      </c>
      <c r="V39" s="38"/>
      <c r="W39" s="46"/>
      <c r="X39" s="44"/>
      <c r="Y39" s="43"/>
      <c r="Z39" s="44"/>
      <c r="AA39" s="44"/>
      <c r="AB39" s="44"/>
      <c r="AC39" s="44"/>
      <c r="AD39" s="44"/>
      <c r="AE39" s="44"/>
      <c r="AF39" s="44"/>
      <c r="AG39" s="44"/>
      <c r="AH39" s="37" t="s">
        <v>293</v>
      </c>
      <c r="AI39" s="42" t="s">
        <v>48</v>
      </c>
      <c r="AJ39" s="52" t="s">
        <v>241</v>
      </c>
      <c r="AK39" s="145" t="str">
        <f t="shared" si="6"/>
        <v>Grit G-25L LINGUA PORTUGUESA</v>
      </c>
      <c r="AL39" s="140" t="s">
        <v>291</v>
      </c>
      <c r="AM39" s="141" t="str">
        <f t="shared" si="7"/>
        <v>3 Malhas</v>
      </c>
      <c r="AN39" s="141" t="str">
        <f t="shared" si="8"/>
        <v>Grit 3 Malhas</v>
      </c>
      <c r="AO39" s="10"/>
      <c r="AP39" s="30"/>
      <c r="AQ39" s="31"/>
      <c r="AR39" s="32"/>
      <c r="AS39" s="11"/>
      <c r="AT39" s="141" t="s">
        <v>161</v>
      </c>
      <c r="AU39" s="153" t="s">
        <v>272</v>
      </c>
      <c r="AV39" s="153" t="s">
        <v>272</v>
      </c>
      <c r="AW39" s="141" t="s">
        <v>162</v>
      </c>
      <c r="AY39" s="154"/>
      <c r="AZ39" s="154"/>
      <c r="BJ39" s="36" t="str">
        <f t="shared" si="0"/>
        <v>Grit G-16H</v>
      </c>
    </row>
    <row r="40" spans="1:62" ht="15.75" x14ac:dyDescent="0.25">
      <c r="A40" s="36" t="s">
        <v>75</v>
      </c>
      <c r="B40" s="37" t="s">
        <v>41</v>
      </c>
      <c r="C40" s="37" t="str">
        <f t="shared" ref="C40:C51" si="9">CONCATENATE(A40," ",B40)</f>
        <v>Grit G-40L LINGUA PORTUGUESA</v>
      </c>
      <c r="D40" s="37" t="s">
        <v>208</v>
      </c>
      <c r="E40" s="37" t="s">
        <v>210</v>
      </c>
      <c r="F40" s="37" t="s">
        <v>211</v>
      </c>
      <c r="G40" s="37" t="s">
        <v>213</v>
      </c>
      <c r="H40" s="37" t="s">
        <v>296</v>
      </c>
      <c r="I40" s="37" t="s">
        <v>216</v>
      </c>
      <c r="J40" s="37" t="s">
        <v>218</v>
      </c>
      <c r="K40" s="37" t="s">
        <v>239</v>
      </c>
      <c r="L40" s="37" t="s">
        <v>235</v>
      </c>
      <c r="M40" s="38">
        <v>18</v>
      </c>
      <c r="N40" s="124" t="s">
        <v>249</v>
      </c>
      <c r="O40" s="40" t="s">
        <v>156</v>
      </c>
      <c r="P40" s="38">
        <v>40</v>
      </c>
      <c r="Q40" s="45" t="s">
        <v>246</v>
      </c>
      <c r="R40" s="47" t="s">
        <v>110</v>
      </c>
      <c r="S40" s="38">
        <v>50</v>
      </c>
      <c r="T40" s="45" t="s">
        <v>260</v>
      </c>
      <c r="U40" s="47" t="s">
        <v>43</v>
      </c>
      <c r="V40" s="38"/>
      <c r="W40" s="46"/>
      <c r="X40" s="44"/>
      <c r="Y40" s="43"/>
      <c r="Z40" s="44"/>
      <c r="AA40" s="44"/>
      <c r="AB40" s="44"/>
      <c r="AC40" s="44"/>
      <c r="AD40" s="44"/>
      <c r="AE40" s="44"/>
      <c r="AF40" s="44"/>
      <c r="AG40" s="44"/>
      <c r="AH40" s="37" t="s">
        <v>293</v>
      </c>
      <c r="AI40" s="42" t="s">
        <v>48</v>
      </c>
      <c r="AJ40" s="52" t="s">
        <v>241</v>
      </c>
      <c r="AK40" s="145" t="str">
        <f t="shared" si="6"/>
        <v>Grit G-40L LINGUA PORTUGUESA</v>
      </c>
      <c r="AL40" s="140" t="s">
        <v>291</v>
      </c>
      <c r="AM40" s="141" t="str">
        <f t="shared" si="7"/>
        <v>3 Malhas</v>
      </c>
      <c r="AN40" s="141" t="str">
        <f t="shared" si="8"/>
        <v>Grit 3 Malhas</v>
      </c>
      <c r="AO40" s="10"/>
      <c r="AP40" s="30"/>
      <c r="AQ40" s="31"/>
      <c r="AR40" s="32"/>
      <c r="AS40" s="11"/>
      <c r="AT40" s="141" t="s">
        <v>117</v>
      </c>
      <c r="AU40" s="153" t="s">
        <v>273</v>
      </c>
      <c r="AV40" s="153" t="s">
        <v>274</v>
      </c>
      <c r="AW40" s="141" t="s">
        <v>308</v>
      </c>
      <c r="AY40" s="154"/>
      <c r="AZ40" s="154"/>
      <c r="BJ40" s="36" t="str">
        <f t="shared" si="0"/>
        <v>Grit G-18H</v>
      </c>
    </row>
    <row r="41" spans="1:62" ht="15.75" x14ac:dyDescent="0.25">
      <c r="A41" s="36" t="s">
        <v>76</v>
      </c>
      <c r="B41" s="37" t="s">
        <v>41</v>
      </c>
      <c r="C41" s="37" t="str">
        <f t="shared" si="9"/>
        <v>Grit G-50L LINGUA PORTUGUESA</v>
      </c>
      <c r="D41" s="37" t="s">
        <v>208</v>
      </c>
      <c r="E41" s="37" t="s">
        <v>210</v>
      </c>
      <c r="F41" s="37" t="s">
        <v>211</v>
      </c>
      <c r="G41" s="37" t="s">
        <v>213</v>
      </c>
      <c r="H41" s="37" t="s">
        <v>296</v>
      </c>
      <c r="I41" s="37" t="s">
        <v>216</v>
      </c>
      <c r="J41" s="37" t="s">
        <v>218</v>
      </c>
      <c r="K41" s="37" t="s">
        <v>239</v>
      </c>
      <c r="L41" s="37" t="s">
        <v>235</v>
      </c>
      <c r="M41" s="38">
        <v>25</v>
      </c>
      <c r="N41" s="45" t="s">
        <v>259</v>
      </c>
      <c r="O41" s="40" t="s">
        <v>156</v>
      </c>
      <c r="P41" s="38">
        <v>50</v>
      </c>
      <c r="Q41" s="45" t="s">
        <v>260</v>
      </c>
      <c r="R41" s="47" t="s">
        <v>111</v>
      </c>
      <c r="S41" s="38">
        <v>80</v>
      </c>
      <c r="T41" s="45" t="s">
        <v>261</v>
      </c>
      <c r="U41" s="47" t="s">
        <v>112</v>
      </c>
      <c r="V41" s="38"/>
      <c r="W41" s="46"/>
      <c r="X41" s="44"/>
      <c r="Y41" s="43"/>
      <c r="Z41" s="44"/>
      <c r="AA41" s="44"/>
      <c r="AB41" s="44"/>
      <c r="AC41" s="44"/>
      <c r="AD41" s="44"/>
      <c r="AE41" s="44"/>
      <c r="AF41" s="44"/>
      <c r="AG41" s="44"/>
      <c r="AH41" s="37" t="s">
        <v>293</v>
      </c>
      <c r="AI41" s="42" t="s">
        <v>48</v>
      </c>
      <c r="AJ41" s="52" t="s">
        <v>241</v>
      </c>
      <c r="AK41" s="145" t="str">
        <f t="shared" si="6"/>
        <v>Grit G-50L LINGUA PORTUGUESA</v>
      </c>
      <c r="AL41" s="140" t="s">
        <v>291</v>
      </c>
      <c r="AM41" s="141" t="str">
        <f t="shared" si="7"/>
        <v>3 Malhas</v>
      </c>
      <c r="AN41" s="141" t="str">
        <f t="shared" si="8"/>
        <v>Grit 3 Malhas</v>
      </c>
      <c r="AO41" s="10"/>
      <c r="AP41" s="30"/>
      <c r="AQ41" s="31"/>
      <c r="AR41" s="32"/>
      <c r="AS41" s="11"/>
      <c r="AT41" s="141" t="s">
        <v>163</v>
      </c>
      <c r="AU41" s="153" t="s">
        <v>275</v>
      </c>
      <c r="AV41" s="153" t="s">
        <v>276</v>
      </c>
      <c r="AW41" s="141"/>
      <c r="AY41" s="154"/>
      <c r="AZ41" s="154"/>
      <c r="BJ41" s="36" t="str">
        <f t="shared" si="0"/>
        <v>Gri  G-25H</v>
      </c>
    </row>
    <row r="42" spans="1:62" ht="15.75" x14ac:dyDescent="0.25">
      <c r="A42" s="36" t="s">
        <v>77</v>
      </c>
      <c r="B42" s="37" t="s">
        <v>41</v>
      </c>
      <c r="C42" s="37" t="str">
        <f t="shared" si="9"/>
        <v>Grit G-80L LINGUA PORTUGUESA</v>
      </c>
      <c r="D42" s="37" t="s">
        <v>208</v>
      </c>
      <c r="E42" s="37" t="s">
        <v>210</v>
      </c>
      <c r="F42" s="37" t="s">
        <v>211</v>
      </c>
      <c r="G42" s="37" t="s">
        <v>213</v>
      </c>
      <c r="H42" s="37" t="s">
        <v>296</v>
      </c>
      <c r="I42" s="37" t="s">
        <v>216</v>
      </c>
      <c r="J42" s="37" t="s">
        <v>218</v>
      </c>
      <c r="K42" s="37" t="s">
        <v>239</v>
      </c>
      <c r="L42" s="37" t="s">
        <v>235</v>
      </c>
      <c r="M42" s="38">
        <v>40</v>
      </c>
      <c r="N42" s="45" t="s">
        <v>246</v>
      </c>
      <c r="O42" s="40" t="s">
        <v>156</v>
      </c>
      <c r="P42" s="38">
        <v>80</v>
      </c>
      <c r="Q42" s="45" t="s">
        <v>261</v>
      </c>
      <c r="R42" s="47" t="s">
        <v>111</v>
      </c>
      <c r="S42" s="38">
        <v>120</v>
      </c>
      <c r="T42" s="45" t="s">
        <v>262</v>
      </c>
      <c r="U42" s="47" t="s">
        <v>112</v>
      </c>
      <c r="V42" s="38"/>
      <c r="W42" s="46"/>
      <c r="X42" s="44"/>
      <c r="Y42" s="43"/>
      <c r="Z42" s="44"/>
      <c r="AA42" s="44"/>
      <c r="AB42" s="44"/>
      <c r="AC42" s="44"/>
      <c r="AD42" s="44"/>
      <c r="AE42" s="44"/>
      <c r="AF42" s="44"/>
      <c r="AG42" s="44"/>
      <c r="AH42" s="37" t="s">
        <v>293</v>
      </c>
      <c r="AI42" s="42" t="s">
        <v>48</v>
      </c>
      <c r="AJ42" s="52" t="s">
        <v>241</v>
      </c>
      <c r="AK42" s="145" t="str">
        <f t="shared" si="6"/>
        <v>Grit G-80L LINGUA PORTUGUESA</v>
      </c>
      <c r="AL42" s="140" t="s">
        <v>291</v>
      </c>
      <c r="AM42" s="141" t="str">
        <f t="shared" si="7"/>
        <v>3 Malhas</v>
      </c>
      <c r="AN42" s="141" t="str">
        <f t="shared" si="8"/>
        <v>Grit 3 Malhas</v>
      </c>
      <c r="AO42" s="10"/>
      <c r="AP42" s="30"/>
      <c r="AQ42" s="31"/>
      <c r="AR42" s="32"/>
      <c r="AS42" s="11"/>
      <c r="AT42" s="141" t="s">
        <v>304</v>
      </c>
      <c r="AU42" s="153" t="s">
        <v>277</v>
      </c>
      <c r="AV42" s="153" t="s">
        <v>278</v>
      </c>
      <c r="AW42" s="141"/>
      <c r="AY42" s="154"/>
      <c r="AZ42" s="154"/>
      <c r="BJ42" s="36" t="str">
        <f t="shared" si="0"/>
        <v>Grit G-40H</v>
      </c>
    </row>
    <row r="43" spans="1:62" ht="15.75" x14ac:dyDescent="0.25">
      <c r="A43" s="36" t="s">
        <v>78</v>
      </c>
      <c r="B43" s="37" t="s">
        <v>41</v>
      </c>
      <c r="C43" s="37" t="str">
        <f t="shared" si="9"/>
        <v>Grit G-120L LINGUA PORTUGUESA</v>
      </c>
      <c r="D43" s="37" t="s">
        <v>208</v>
      </c>
      <c r="E43" s="37" t="s">
        <v>210</v>
      </c>
      <c r="F43" s="37" t="s">
        <v>211</v>
      </c>
      <c r="G43" s="37" t="s">
        <v>213</v>
      </c>
      <c r="H43" s="37" t="s">
        <v>296</v>
      </c>
      <c r="I43" s="37" t="s">
        <v>216</v>
      </c>
      <c r="J43" s="37" t="s">
        <v>218</v>
      </c>
      <c r="K43" s="37" t="s">
        <v>239</v>
      </c>
      <c r="L43" s="37" t="s">
        <v>235</v>
      </c>
      <c r="M43" s="38">
        <v>50</v>
      </c>
      <c r="N43" s="45" t="s">
        <v>260</v>
      </c>
      <c r="O43" s="40" t="s">
        <v>156</v>
      </c>
      <c r="P43" s="38">
        <v>120</v>
      </c>
      <c r="Q43" s="45" t="s">
        <v>262</v>
      </c>
      <c r="R43" s="47" t="s">
        <v>113</v>
      </c>
      <c r="S43" s="38">
        <v>200</v>
      </c>
      <c r="T43" s="45" t="s">
        <v>265</v>
      </c>
      <c r="U43" s="47" t="s">
        <v>110</v>
      </c>
      <c r="V43" s="38"/>
      <c r="W43" s="46"/>
      <c r="X43" s="44"/>
      <c r="Y43" s="43"/>
      <c r="Z43" s="44"/>
      <c r="AA43" s="44"/>
      <c r="AB43" s="44"/>
      <c r="AC43" s="44"/>
      <c r="AD43" s="44"/>
      <c r="AE43" s="44"/>
      <c r="AF43" s="44"/>
      <c r="AG43" s="44"/>
      <c r="AH43" s="37" t="s">
        <v>293</v>
      </c>
      <c r="AI43" s="42" t="s">
        <v>48</v>
      </c>
      <c r="AJ43" s="52" t="s">
        <v>241</v>
      </c>
      <c r="AK43" s="145" t="str">
        <f t="shared" si="6"/>
        <v>Grit G-120L LINGUA PORTUGUESA</v>
      </c>
      <c r="AL43" s="140" t="s">
        <v>291</v>
      </c>
      <c r="AM43" s="141" t="str">
        <f t="shared" si="7"/>
        <v>3 Malhas</v>
      </c>
      <c r="AN43" s="141" t="str">
        <f t="shared" si="8"/>
        <v>Grit 3 Malhas</v>
      </c>
      <c r="AO43" s="10"/>
      <c r="AP43" s="30"/>
      <c r="AQ43" s="31"/>
      <c r="AR43" s="32"/>
      <c r="AS43" s="11"/>
      <c r="AT43" s="141" t="s">
        <v>310</v>
      </c>
      <c r="AU43" s="153" t="s">
        <v>309</v>
      </c>
      <c r="AV43" s="153" t="s">
        <v>280</v>
      </c>
      <c r="AW43" s="141"/>
      <c r="AY43" s="154"/>
      <c r="AZ43" s="154"/>
      <c r="BJ43" s="36" t="str">
        <f t="shared" si="0"/>
        <v>Grit G-50H</v>
      </c>
    </row>
    <row r="44" spans="1:62" ht="15.75" x14ac:dyDescent="0.25">
      <c r="A44" s="36" t="s">
        <v>79</v>
      </c>
      <c r="B44" s="37" t="s">
        <v>41</v>
      </c>
      <c r="C44" s="37" t="str">
        <f t="shared" si="9"/>
        <v>Grit G-14H LINGUA PORTUGUESA</v>
      </c>
      <c r="D44" s="37" t="s">
        <v>208</v>
      </c>
      <c r="E44" s="37" t="s">
        <v>210</v>
      </c>
      <c r="F44" s="37" t="s">
        <v>211</v>
      </c>
      <c r="G44" s="37" t="s">
        <v>213</v>
      </c>
      <c r="H44" s="37" t="s">
        <v>296</v>
      </c>
      <c r="I44" s="37" t="s">
        <v>216</v>
      </c>
      <c r="J44" s="37" t="s">
        <v>218</v>
      </c>
      <c r="K44" s="37" t="s">
        <v>239</v>
      </c>
      <c r="L44" s="37" t="s">
        <v>232</v>
      </c>
      <c r="M44" s="38">
        <v>10</v>
      </c>
      <c r="N44" s="124" t="s">
        <v>253</v>
      </c>
      <c r="O44" s="40" t="s">
        <v>156</v>
      </c>
      <c r="P44" s="38">
        <v>14</v>
      </c>
      <c r="Q44" s="124" t="s">
        <v>251</v>
      </c>
      <c r="R44" s="47" t="s">
        <v>43</v>
      </c>
      <c r="S44" s="38">
        <v>16</v>
      </c>
      <c r="T44" s="124" t="s">
        <v>250</v>
      </c>
      <c r="U44" s="47" t="s">
        <v>107</v>
      </c>
      <c r="V44" s="38"/>
      <c r="W44" s="46"/>
      <c r="X44" s="44"/>
      <c r="Y44" s="43"/>
      <c r="Z44" s="44"/>
      <c r="AA44" s="44"/>
      <c r="AB44" s="44"/>
      <c r="AC44" s="44"/>
      <c r="AD44" s="44"/>
      <c r="AE44" s="44"/>
      <c r="AF44" s="44"/>
      <c r="AG44" s="44"/>
      <c r="AH44" s="37" t="s">
        <v>293</v>
      </c>
      <c r="AI44" s="42" t="s">
        <v>48</v>
      </c>
      <c r="AJ44" s="52" t="s">
        <v>135</v>
      </c>
      <c r="AK44" s="145" t="str">
        <f t="shared" si="6"/>
        <v>Grit G-14H LINGUA PORTUGUESA</v>
      </c>
      <c r="AL44" s="140" t="s">
        <v>291</v>
      </c>
      <c r="AM44" s="141" t="str">
        <f t="shared" si="7"/>
        <v>3 Malhas</v>
      </c>
      <c r="AN44" s="141" t="str">
        <f t="shared" si="8"/>
        <v>Grit 3 Malhas</v>
      </c>
      <c r="AO44" s="10"/>
      <c r="AP44" s="30"/>
      <c r="AQ44" s="31"/>
      <c r="AR44" s="32"/>
      <c r="AS44" s="11"/>
      <c r="AT44" s="141" t="s">
        <v>240</v>
      </c>
      <c r="AU44" s="153" t="s">
        <v>205</v>
      </c>
      <c r="AV44" s="153" t="s">
        <v>239</v>
      </c>
      <c r="AW44" s="141"/>
      <c r="AY44" s="154"/>
      <c r="AZ44" s="154"/>
      <c r="BJ44" s="36" t="str">
        <f t="shared" si="0"/>
        <v>Grit G-80H</v>
      </c>
    </row>
    <row r="45" spans="1:62" ht="15.75" x14ac:dyDescent="0.25">
      <c r="A45" s="36" t="s">
        <v>80</v>
      </c>
      <c r="B45" s="37" t="s">
        <v>41</v>
      </c>
      <c r="C45" s="37" t="str">
        <f t="shared" si="9"/>
        <v>Grit G-16H LINGUA PORTUGUESA</v>
      </c>
      <c r="D45" s="37" t="s">
        <v>208</v>
      </c>
      <c r="E45" s="37" t="s">
        <v>210</v>
      </c>
      <c r="F45" s="37" t="s">
        <v>211</v>
      </c>
      <c r="G45" s="37" t="s">
        <v>213</v>
      </c>
      <c r="H45" s="37" t="s">
        <v>296</v>
      </c>
      <c r="I45" s="37" t="s">
        <v>216</v>
      </c>
      <c r="J45" s="37" t="s">
        <v>218</v>
      </c>
      <c r="K45" s="37" t="s">
        <v>239</v>
      </c>
      <c r="L45" s="37" t="s">
        <v>232</v>
      </c>
      <c r="M45" s="38">
        <v>12</v>
      </c>
      <c r="N45" s="124" t="s">
        <v>252</v>
      </c>
      <c r="O45" s="40" t="s">
        <v>156</v>
      </c>
      <c r="P45" s="38">
        <v>16</v>
      </c>
      <c r="Q45" s="124" t="s">
        <v>250</v>
      </c>
      <c r="R45" s="47" t="s">
        <v>108</v>
      </c>
      <c r="S45" s="38">
        <v>18</v>
      </c>
      <c r="T45" s="124" t="s">
        <v>249</v>
      </c>
      <c r="U45" s="47" t="s">
        <v>103</v>
      </c>
      <c r="V45" s="38"/>
      <c r="W45" s="46"/>
      <c r="X45" s="44"/>
      <c r="Y45" s="43"/>
      <c r="Z45" s="44"/>
      <c r="AA45" s="44"/>
      <c r="AB45" s="44"/>
      <c r="AC45" s="44"/>
      <c r="AD45" s="44"/>
      <c r="AE45" s="44"/>
      <c r="AF45" s="44"/>
      <c r="AG45" s="44"/>
      <c r="AH45" s="37" t="s">
        <v>293</v>
      </c>
      <c r="AI45" s="42" t="s">
        <v>48</v>
      </c>
      <c r="AJ45" s="52" t="s">
        <v>135</v>
      </c>
      <c r="AK45" s="145" t="str">
        <f t="shared" si="6"/>
        <v>Grit G-16H LINGUA PORTUGUESA</v>
      </c>
      <c r="AL45" s="140" t="s">
        <v>291</v>
      </c>
      <c r="AM45" s="141" t="str">
        <f t="shared" si="7"/>
        <v>3 Malhas</v>
      </c>
      <c r="AN45" s="141" t="str">
        <f t="shared" si="8"/>
        <v>Grit 3 Malhas</v>
      </c>
      <c r="AO45" s="10"/>
      <c r="AP45" s="30"/>
      <c r="AQ45" s="31"/>
      <c r="AR45" s="32"/>
      <c r="AS45" s="11"/>
      <c r="AT45" s="141" t="s">
        <v>313</v>
      </c>
      <c r="AU45" s="153" t="s">
        <v>135</v>
      </c>
      <c r="AV45" s="153" t="s">
        <v>241</v>
      </c>
      <c r="AW45" s="153"/>
      <c r="BJ45" s="36" t="str">
        <f t="shared" si="0"/>
        <v>Grit G-120H</v>
      </c>
    </row>
    <row r="46" spans="1:62" ht="15.75" x14ac:dyDescent="0.25">
      <c r="A46" s="36" t="s">
        <v>81</v>
      </c>
      <c r="B46" s="37" t="s">
        <v>41</v>
      </c>
      <c r="C46" s="37" t="str">
        <f t="shared" si="9"/>
        <v>Grit G-18H LINGUA PORTUGUESA</v>
      </c>
      <c r="D46" s="37" t="s">
        <v>208</v>
      </c>
      <c r="E46" s="37" t="s">
        <v>210</v>
      </c>
      <c r="F46" s="37" t="s">
        <v>211</v>
      </c>
      <c r="G46" s="37" t="s">
        <v>213</v>
      </c>
      <c r="H46" s="37" t="s">
        <v>296</v>
      </c>
      <c r="I46" s="37" t="s">
        <v>216</v>
      </c>
      <c r="J46" s="37" t="s">
        <v>218</v>
      </c>
      <c r="K46" s="37" t="s">
        <v>239</v>
      </c>
      <c r="L46" s="37" t="s">
        <v>232</v>
      </c>
      <c r="M46" s="38">
        <v>14</v>
      </c>
      <c r="N46" s="124" t="s">
        <v>251</v>
      </c>
      <c r="O46" s="40" t="s">
        <v>156</v>
      </c>
      <c r="P46" s="38">
        <v>18</v>
      </c>
      <c r="Q46" s="124" t="s">
        <v>249</v>
      </c>
      <c r="R46" s="47" t="s">
        <v>108</v>
      </c>
      <c r="S46" s="38">
        <v>25</v>
      </c>
      <c r="T46" s="45" t="s">
        <v>259</v>
      </c>
      <c r="U46" s="47" t="s">
        <v>103</v>
      </c>
      <c r="V46" s="38"/>
      <c r="W46" s="46"/>
      <c r="X46" s="44"/>
      <c r="Y46" s="43"/>
      <c r="Z46" s="44"/>
      <c r="AA46" s="44"/>
      <c r="AB46" s="44"/>
      <c r="AC46" s="44"/>
      <c r="AD46" s="44"/>
      <c r="AE46" s="44"/>
      <c r="AF46" s="44"/>
      <c r="AG46" s="44"/>
      <c r="AH46" s="37" t="s">
        <v>293</v>
      </c>
      <c r="AI46" s="42" t="s">
        <v>48</v>
      </c>
      <c r="AJ46" s="52" t="s">
        <v>135</v>
      </c>
      <c r="AK46" s="145" t="str">
        <f t="shared" si="6"/>
        <v>Grit G-18H LINGUA PORTUGUESA</v>
      </c>
      <c r="AL46" s="140" t="s">
        <v>291</v>
      </c>
      <c r="AM46" s="141" t="str">
        <f t="shared" si="7"/>
        <v>3 Malhas</v>
      </c>
      <c r="AN46" s="141" t="str">
        <f t="shared" si="8"/>
        <v>Grit 3 Malhas</v>
      </c>
      <c r="AO46" s="10"/>
      <c r="AP46" s="30"/>
      <c r="AQ46" s="31"/>
      <c r="AR46" s="32"/>
      <c r="AS46" s="11"/>
      <c r="AT46" s="141" t="s">
        <v>320</v>
      </c>
      <c r="AU46" s="141" t="s">
        <v>316</v>
      </c>
      <c r="AV46" s="141" t="s">
        <v>321</v>
      </c>
      <c r="AW46" s="141"/>
      <c r="BJ46" s="36"/>
    </row>
    <row r="47" spans="1:62" ht="15.75" x14ac:dyDescent="0.25">
      <c r="A47" s="36" t="s">
        <v>82</v>
      </c>
      <c r="B47" s="37" t="s">
        <v>41</v>
      </c>
      <c r="C47" s="37" t="str">
        <f t="shared" si="9"/>
        <v>Gri  G-25H LINGUA PORTUGUESA</v>
      </c>
      <c r="D47" s="37" t="s">
        <v>208</v>
      </c>
      <c r="E47" s="37" t="s">
        <v>210</v>
      </c>
      <c r="F47" s="37" t="s">
        <v>211</v>
      </c>
      <c r="G47" s="37" t="s">
        <v>213</v>
      </c>
      <c r="H47" s="37" t="s">
        <v>296</v>
      </c>
      <c r="I47" s="37" t="s">
        <v>216</v>
      </c>
      <c r="J47" s="37" t="s">
        <v>218</v>
      </c>
      <c r="K47" s="37" t="s">
        <v>239</v>
      </c>
      <c r="L47" s="37" t="s">
        <v>232</v>
      </c>
      <c r="M47" s="38">
        <v>16</v>
      </c>
      <c r="N47" s="124" t="s">
        <v>250</v>
      </c>
      <c r="O47" s="40" t="s">
        <v>156</v>
      </c>
      <c r="P47" s="38">
        <v>25</v>
      </c>
      <c r="Q47" s="45" t="s">
        <v>259</v>
      </c>
      <c r="R47" s="47" t="s">
        <v>109</v>
      </c>
      <c r="S47" s="38">
        <v>40</v>
      </c>
      <c r="T47" s="45" t="s">
        <v>246</v>
      </c>
      <c r="U47" s="47" t="s">
        <v>43</v>
      </c>
      <c r="V47" s="38"/>
      <c r="W47" s="46"/>
      <c r="X47" s="44"/>
      <c r="Y47" s="43"/>
      <c r="Z47" s="44"/>
      <c r="AA47" s="44"/>
      <c r="AB47" s="44"/>
      <c r="AC47" s="44"/>
      <c r="AD47" s="44"/>
      <c r="AE47" s="44"/>
      <c r="AF47" s="44"/>
      <c r="AG47" s="44"/>
      <c r="AH47" s="37" t="s">
        <v>293</v>
      </c>
      <c r="AI47" s="42" t="s">
        <v>48</v>
      </c>
      <c r="AJ47" s="52" t="s">
        <v>135</v>
      </c>
      <c r="AK47" s="145" t="str">
        <f t="shared" si="6"/>
        <v>Gri  G-25H LINGUA PORTUGUESA</v>
      </c>
      <c r="AL47" s="140" t="s">
        <v>291</v>
      </c>
      <c r="AM47" s="141" t="str">
        <f t="shared" si="7"/>
        <v>3 Malhas</v>
      </c>
      <c r="AN47" s="141" t="str">
        <f t="shared" si="8"/>
        <v>Grit 3 Malhas</v>
      </c>
      <c r="AO47" s="10"/>
      <c r="AP47" s="30"/>
      <c r="AQ47" s="31"/>
      <c r="AR47" s="32"/>
      <c r="AS47" s="11"/>
      <c r="BJ47" s="36"/>
    </row>
    <row r="48" spans="1:62" ht="15.75" x14ac:dyDescent="0.25">
      <c r="A48" s="36" t="s">
        <v>83</v>
      </c>
      <c r="B48" s="37" t="s">
        <v>41</v>
      </c>
      <c r="C48" s="37" t="str">
        <f t="shared" si="9"/>
        <v>Grit G-40H LINGUA PORTUGUESA</v>
      </c>
      <c r="D48" s="37" t="s">
        <v>208</v>
      </c>
      <c r="E48" s="37" t="s">
        <v>210</v>
      </c>
      <c r="F48" s="37" t="s">
        <v>211</v>
      </c>
      <c r="G48" s="37" t="s">
        <v>213</v>
      </c>
      <c r="H48" s="37" t="s">
        <v>296</v>
      </c>
      <c r="I48" s="37" t="s">
        <v>216</v>
      </c>
      <c r="J48" s="37" t="s">
        <v>218</v>
      </c>
      <c r="K48" s="37" t="s">
        <v>239</v>
      </c>
      <c r="L48" s="37" t="s">
        <v>232</v>
      </c>
      <c r="M48" s="38">
        <v>18</v>
      </c>
      <c r="N48" s="124" t="s">
        <v>249</v>
      </c>
      <c r="O48" s="40" t="s">
        <v>156</v>
      </c>
      <c r="P48" s="38">
        <v>40</v>
      </c>
      <c r="Q48" s="45" t="s">
        <v>246</v>
      </c>
      <c r="R48" s="47" t="s">
        <v>110</v>
      </c>
      <c r="S48" s="38">
        <v>50</v>
      </c>
      <c r="T48" s="45" t="s">
        <v>260</v>
      </c>
      <c r="U48" s="47" t="s">
        <v>43</v>
      </c>
      <c r="V48" s="38"/>
      <c r="W48" s="46"/>
      <c r="X48" s="44"/>
      <c r="Y48" s="43"/>
      <c r="Z48" s="44"/>
      <c r="AA48" s="44"/>
      <c r="AB48" s="44"/>
      <c r="AC48" s="44"/>
      <c r="AD48" s="44"/>
      <c r="AE48" s="44"/>
      <c r="AF48" s="44"/>
      <c r="AG48" s="44"/>
      <c r="AH48" s="37" t="s">
        <v>293</v>
      </c>
      <c r="AI48" s="42" t="s">
        <v>48</v>
      </c>
      <c r="AJ48" s="52" t="s">
        <v>135</v>
      </c>
      <c r="AK48" s="145" t="str">
        <f t="shared" si="6"/>
        <v>Grit G-40H LINGUA PORTUGUESA</v>
      </c>
      <c r="AL48" s="140" t="s">
        <v>291</v>
      </c>
      <c r="AM48" s="141" t="str">
        <f t="shared" si="7"/>
        <v>3 Malhas</v>
      </c>
      <c r="AN48" s="141" t="str">
        <f t="shared" si="8"/>
        <v>Grit 3 Malhas</v>
      </c>
      <c r="AO48" s="10"/>
      <c r="AP48" s="30"/>
      <c r="AQ48" s="31"/>
      <c r="AR48" s="32"/>
      <c r="AS48" s="11"/>
      <c r="BJ48" s="36"/>
    </row>
    <row r="49" spans="1:62" ht="15.75" x14ac:dyDescent="0.25">
      <c r="A49" s="36" t="s">
        <v>84</v>
      </c>
      <c r="B49" s="37" t="s">
        <v>41</v>
      </c>
      <c r="C49" s="37" t="str">
        <f t="shared" si="9"/>
        <v>Grit G-50H LINGUA PORTUGUESA</v>
      </c>
      <c r="D49" s="37" t="s">
        <v>208</v>
      </c>
      <c r="E49" s="37" t="s">
        <v>210</v>
      </c>
      <c r="F49" s="37" t="s">
        <v>211</v>
      </c>
      <c r="G49" s="37" t="s">
        <v>213</v>
      </c>
      <c r="H49" s="37" t="s">
        <v>296</v>
      </c>
      <c r="I49" s="37" t="s">
        <v>216</v>
      </c>
      <c r="J49" s="37" t="s">
        <v>218</v>
      </c>
      <c r="K49" s="37" t="s">
        <v>239</v>
      </c>
      <c r="L49" s="37" t="s">
        <v>232</v>
      </c>
      <c r="M49" s="38">
        <v>25</v>
      </c>
      <c r="N49" s="45" t="s">
        <v>259</v>
      </c>
      <c r="O49" s="40" t="s">
        <v>156</v>
      </c>
      <c r="P49" s="38">
        <v>50</v>
      </c>
      <c r="Q49" s="45" t="s">
        <v>260</v>
      </c>
      <c r="R49" s="47" t="s">
        <v>111</v>
      </c>
      <c r="S49" s="38">
        <v>80</v>
      </c>
      <c r="T49" s="45" t="s">
        <v>261</v>
      </c>
      <c r="U49" s="47" t="s">
        <v>112</v>
      </c>
      <c r="V49" s="38"/>
      <c r="W49" s="46"/>
      <c r="X49" s="44"/>
      <c r="Y49" s="43"/>
      <c r="Z49" s="44"/>
      <c r="AA49" s="44"/>
      <c r="AB49" s="44"/>
      <c r="AC49" s="44"/>
      <c r="AD49" s="44"/>
      <c r="AE49" s="44"/>
      <c r="AF49" s="44"/>
      <c r="AG49" s="44"/>
      <c r="AH49" s="37" t="s">
        <v>293</v>
      </c>
      <c r="AI49" s="42" t="s">
        <v>48</v>
      </c>
      <c r="AJ49" s="52" t="s">
        <v>135</v>
      </c>
      <c r="AK49" s="145" t="str">
        <f t="shared" si="6"/>
        <v>Grit G-50H LINGUA PORTUGUESA</v>
      </c>
      <c r="AL49" s="140" t="s">
        <v>291</v>
      </c>
      <c r="AM49" s="141" t="str">
        <f t="shared" si="7"/>
        <v>3 Malhas</v>
      </c>
      <c r="AN49" s="141" t="str">
        <f t="shared" si="8"/>
        <v>Grit 3 Malhas</v>
      </c>
      <c r="AO49" s="10"/>
      <c r="AP49" s="30"/>
      <c r="AQ49" s="31"/>
      <c r="AR49" s="32"/>
      <c r="AS49" s="11"/>
      <c r="BJ49" s="36"/>
    </row>
    <row r="50" spans="1:62" ht="15.75" x14ac:dyDescent="0.25">
      <c r="A50" s="36" t="s">
        <v>85</v>
      </c>
      <c r="B50" s="37" t="s">
        <v>41</v>
      </c>
      <c r="C50" s="37" t="str">
        <f t="shared" si="9"/>
        <v>Grit G-80H LINGUA PORTUGUESA</v>
      </c>
      <c r="D50" s="37" t="s">
        <v>208</v>
      </c>
      <c r="E50" s="37" t="s">
        <v>210</v>
      </c>
      <c r="F50" s="37" t="s">
        <v>211</v>
      </c>
      <c r="G50" s="37" t="s">
        <v>213</v>
      </c>
      <c r="H50" s="37" t="s">
        <v>296</v>
      </c>
      <c r="I50" s="37" t="s">
        <v>216</v>
      </c>
      <c r="J50" s="37" t="s">
        <v>218</v>
      </c>
      <c r="K50" s="37" t="s">
        <v>239</v>
      </c>
      <c r="L50" s="37" t="s">
        <v>232</v>
      </c>
      <c r="M50" s="38">
        <v>40</v>
      </c>
      <c r="N50" s="45" t="s">
        <v>246</v>
      </c>
      <c r="O50" s="40" t="s">
        <v>156</v>
      </c>
      <c r="P50" s="38">
        <v>80</v>
      </c>
      <c r="Q50" s="45" t="s">
        <v>261</v>
      </c>
      <c r="R50" s="47" t="s">
        <v>111</v>
      </c>
      <c r="S50" s="38">
        <v>120</v>
      </c>
      <c r="T50" s="45" t="s">
        <v>262</v>
      </c>
      <c r="U50" s="47" t="s">
        <v>112</v>
      </c>
      <c r="V50" s="38"/>
      <c r="W50" s="46"/>
      <c r="X50" s="44"/>
      <c r="Y50" s="43"/>
      <c r="Z50" s="44"/>
      <c r="AA50" s="44"/>
      <c r="AB50" s="44"/>
      <c r="AC50" s="44"/>
      <c r="AD50" s="44"/>
      <c r="AE50" s="44"/>
      <c r="AF50" s="44"/>
      <c r="AG50" s="44"/>
      <c r="AH50" s="37" t="s">
        <v>293</v>
      </c>
      <c r="AI50" s="42" t="s">
        <v>48</v>
      </c>
      <c r="AJ50" s="52" t="s">
        <v>135</v>
      </c>
      <c r="AK50" s="145" t="str">
        <f t="shared" si="6"/>
        <v>Grit G-80H LINGUA PORTUGUESA</v>
      </c>
      <c r="AL50" s="140" t="s">
        <v>291</v>
      </c>
      <c r="AM50" s="141" t="str">
        <f t="shared" si="7"/>
        <v>3 Malhas</v>
      </c>
      <c r="AN50" s="141" t="str">
        <f t="shared" si="8"/>
        <v>Grit 3 Malhas</v>
      </c>
      <c r="AO50" s="10"/>
      <c r="AP50" s="30"/>
      <c r="AQ50" s="31"/>
      <c r="AR50" s="32"/>
      <c r="AS50" s="11"/>
      <c r="BJ50" s="36"/>
    </row>
    <row r="51" spans="1:62" ht="15.75" x14ac:dyDescent="0.25">
      <c r="A51" s="36" t="s">
        <v>86</v>
      </c>
      <c r="B51" s="37" t="s">
        <v>41</v>
      </c>
      <c r="C51" s="37" t="str">
        <f t="shared" si="9"/>
        <v>Grit G-120H LINGUA PORTUGUESA</v>
      </c>
      <c r="D51" s="37" t="s">
        <v>208</v>
      </c>
      <c r="E51" s="37" t="s">
        <v>210</v>
      </c>
      <c r="F51" s="37" t="s">
        <v>211</v>
      </c>
      <c r="G51" s="37" t="s">
        <v>213</v>
      </c>
      <c r="H51" s="37" t="s">
        <v>296</v>
      </c>
      <c r="I51" s="37" t="s">
        <v>216</v>
      </c>
      <c r="J51" s="37" t="s">
        <v>218</v>
      </c>
      <c r="K51" s="37" t="s">
        <v>239</v>
      </c>
      <c r="L51" s="37" t="s">
        <v>232</v>
      </c>
      <c r="M51" s="38">
        <v>50</v>
      </c>
      <c r="N51" s="45" t="s">
        <v>260</v>
      </c>
      <c r="O51" s="40" t="s">
        <v>156</v>
      </c>
      <c r="P51" s="38">
        <v>120</v>
      </c>
      <c r="Q51" s="45" t="s">
        <v>262</v>
      </c>
      <c r="R51" s="47" t="s">
        <v>113</v>
      </c>
      <c r="S51" s="38">
        <v>200</v>
      </c>
      <c r="T51" s="45" t="s">
        <v>265</v>
      </c>
      <c r="U51" s="47" t="s">
        <v>110</v>
      </c>
      <c r="V51" s="38"/>
      <c r="W51" s="46"/>
      <c r="X51" s="44"/>
      <c r="Y51" s="43"/>
      <c r="Z51" s="44"/>
      <c r="AA51" s="44"/>
      <c r="AB51" s="44"/>
      <c r="AC51" s="44"/>
      <c r="AD51" s="44"/>
      <c r="AE51" s="44"/>
      <c r="AF51" s="44"/>
      <c r="AG51" s="44"/>
      <c r="AH51" s="37" t="s">
        <v>293</v>
      </c>
      <c r="AI51" s="42" t="s">
        <v>48</v>
      </c>
      <c r="AJ51" s="52" t="s">
        <v>135</v>
      </c>
      <c r="AK51" s="145" t="str">
        <f t="shared" si="6"/>
        <v>Grit G-120H LINGUA PORTUGUESA</v>
      </c>
      <c r="AL51" s="140" t="s">
        <v>291</v>
      </c>
      <c r="AM51" s="141" t="str">
        <f t="shared" si="7"/>
        <v>3 Malhas</v>
      </c>
      <c r="AN51" s="141" t="str">
        <f t="shared" si="8"/>
        <v>Grit 3 Malhas</v>
      </c>
      <c r="AO51" s="10"/>
      <c r="AP51" s="30"/>
      <c r="AQ51" s="31"/>
      <c r="AR51" s="32"/>
      <c r="AS51" s="11"/>
      <c r="BJ51" s="36"/>
    </row>
    <row r="52" spans="1:62" ht="15.75" x14ac:dyDescent="0.25">
      <c r="A52" s="36"/>
      <c r="B52" s="37" t="s">
        <v>41</v>
      </c>
      <c r="C52" s="37" t="str">
        <f t="shared" ref="C52:C95" si="10">CONCATENATE(A52," ",B52)</f>
        <v xml:space="preserve"> LINGUA PORTUGUESA</v>
      </c>
      <c r="D52" s="37"/>
      <c r="E52" s="37"/>
      <c r="F52" s="37"/>
      <c r="G52" s="37"/>
      <c r="H52" s="37"/>
      <c r="I52" s="37"/>
      <c r="J52" s="37"/>
      <c r="K52" s="37"/>
      <c r="L52" s="37" t="str">
        <f t="shared" ref="L52:L95" si="11">CONCATENATE("90% das partículas devem estar entre ",  AQ120," a ", AR120," HRC.")</f>
        <v>90% das partículas devem estar entre  a  HRC.</v>
      </c>
      <c r="M52" s="130" t="str">
        <f t="shared" ref="M52:M95" si="12">IFERROR(VLOOKUP(N52,$AY$4:$AZ$26,2,FALSE),"")</f>
        <v/>
      </c>
      <c r="N52" s="131"/>
      <c r="O52" s="130" t="str">
        <f>IF(CONCATENATE(AS124,AT124,"%")="%","",CONCATENATE(AS124,AT124,"%"))</f>
        <v/>
      </c>
      <c r="P52" s="130" t="str">
        <f t="shared" ref="P52:P95" si="13">IFERROR(VLOOKUP(Q52,$AY$4:$AZ$26,2,FALSE),"")</f>
        <v/>
      </c>
      <c r="Q52" s="131"/>
      <c r="R52" s="42" t="str">
        <f t="shared" ref="R52:R95" si="14">IF(CONCATENATE(AU124,AV124,"%")="%","",CONCATENATE(AU124,AV124,"%"))</f>
        <v/>
      </c>
      <c r="S52" s="130" t="str">
        <f t="shared" ref="S52:S95" si="15">IFERROR(VLOOKUP(T52,$AY$4:$AZ$26,2,FALSE),"")</f>
        <v/>
      </c>
      <c r="T52" s="131" t="s">
        <v>322</v>
      </c>
      <c r="U52" s="42" t="str">
        <f t="shared" ref="U52:U95" si="16">IF(CONCATENATE(AW124,AX124,"%")="%","",CONCATENATE(AW124,AX124,"%"))</f>
        <v/>
      </c>
      <c r="V52" s="130" t="str">
        <f t="shared" ref="V52:V95" si="17">IFERROR(VLOOKUP(W52,$AY$4:$AZ$26,2,FALSE),"")</f>
        <v/>
      </c>
      <c r="W52" s="131" t="s">
        <v>322</v>
      </c>
      <c r="X52" s="42" t="str">
        <f t="shared" ref="X52:X95" si="18">IF(CONCATENATE(AY124,AZ124,"%")="%","",CONCATENATE(AY124,AZ124,"%"))</f>
        <v/>
      </c>
      <c r="Y52" s="130" t="str">
        <f t="shared" ref="Y52:Y95" si="19">IFERROR(VLOOKUP(Z52,$AY$4:$AZ$26,2,FALSE),"")</f>
        <v/>
      </c>
      <c r="Z52" s="131" t="s">
        <v>322</v>
      </c>
      <c r="AA52" s="42" t="str">
        <f t="shared" ref="AA52:AA95" si="20">IF(CONCATENATE(BA124,BB124,"%")="%","",CONCATENATE(BA124,BB124,"%"))</f>
        <v/>
      </c>
      <c r="AB52" s="130" t="str">
        <f t="shared" ref="AB52:AB95" si="21">IFERROR(VLOOKUP(AC52,$AY$4:$AZ$26,2,FALSE),"")</f>
        <v/>
      </c>
      <c r="AC52" s="131" t="s">
        <v>322</v>
      </c>
      <c r="AD52" s="42" t="str">
        <f t="shared" ref="AD52:AD95" si="22">IF(CONCATENATE(BC124,BD124,"%")="%","",CONCATENATE(BC124,BD124,"%"))</f>
        <v/>
      </c>
      <c r="AE52" s="130" t="str">
        <f t="shared" ref="AE52:AE95" si="23">IFERROR(VLOOKUP(AF52,$AY$4:$AZ$26,2,FALSE),"")</f>
        <v/>
      </c>
      <c r="AF52" s="39" t="s">
        <v>322</v>
      </c>
      <c r="AG52" s="42" t="str">
        <f t="shared" ref="AG52:AG95" si="24">IF(CONCATENATE(BE124,BF124,"%")="%","",CONCATENATE(BE124,BF124,"%"))</f>
        <v/>
      </c>
      <c r="AH52" s="37" t="str">
        <f t="shared" ref="AH52:AH95" si="25">IF(CONCATENATE("Mín. ",BG124)="Mín. ","",CONCATENATE("Mín. ",BG124))</f>
        <v/>
      </c>
      <c r="AI52" s="37" t="str">
        <f t="shared" ref="AI52:AI95" si="26">IF(CONCATENATE("Máx. ",BH124,"%")="Máx. %","",CONCATENATE("Máx. ",BH124,"%"))</f>
        <v/>
      </c>
      <c r="AJ52" s="52"/>
      <c r="AK52" s="145" t="str">
        <f t="shared" si="6"/>
        <v xml:space="preserve"> LINGUA PORTUGUESA</v>
      </c>
      <c r="AL52" s="141"/>
      <c r="AM52" s="141" t="str">
        <f t="shared" ref="AM52:AM95" si="27">IF(COUNTBLANK(M52:AG52)=15,"2 Malhas",IF(COUNTBLANK(M52:AG52)=12,"3 Malhas",IF(COUNTBLANK(M52:AG52)=9,"4 Malhas",IF(COUNTBLANK(M52:AG52)=6,"5 Malhas",IF(COUNTBLANK(M52:AG52)=3,"6 Malhas",IF(COUNTBLANK(M52:AG52)=0,"7 Malhas","Sem Dados"))))))</f>
        <v>Sem Dados</v>
      </c>
      <c r="AN52" s="141" t="str">
        <f t="shared" si="8"/>
        <v xml:space="preserve"> Sem Dados</v>
      </c>
      <c r="AO52" s="10"/>
      <c r="AP52" s="30"/>
      <c r="AQ52" s="31"/>
      <c r="AR52" s="32"/>
      <c r="AS52" s="11"/>
      <c r="BJ52" s="36"/>
    </row>
    <row r="53" spans="1:62" ht="15.75" x14ac:dyDescent="0.25">
      <c r="A53" s="36"/>
      <c r="B53" s="37" t="s">
        <v>41</v>
      </c>
      <c r="C53" s="37" t="str">
        <f t="shared" si="10"/>
        <v xml:space="preserve"> LINGUA PORTUGUESA</v>
      </c>
      <c r="D53" s="37"/>
      <c r="E53" s="37"/>
      <c r="F53" s="37"/>
      <c r="G53" s="37"/>
      <c r="H53" s="37"/>
      <c r="I53" s="37"/>
      <c r="J53" s="37"/>
      <c r="K53" s="37"/>
      <c r="L53" s="37" t="str">
        <f t="shared" si="11"/>
        <v>90% das partículas devem estar entre  a  HRC.</v>
      </c>
      <c r="M53" s="130" t="str">
        <f t="shared" si="12"/>
        <v/>
      </c>
      <c r="N53" s="131"/>
      <c r="O53" s="130" t="str">
        <f>IF(CONCATENATE(AS125,AT125,"%")="%","",CONCATENATE(AS125,AT125,"%"))</f>
        <v/>
      </c>
      <c r="P53" s="130" t="str">
        <f t="shared" si="13"/>
        <v/>
      </c>
      <c r="Q53" s="131"/>
      <c r="R53" s="42" t="str">
        <f t="shared" si="14"/>
        <v/>
      </c>
      <c r="S53" s="130" t="str">
        <f t="shared" si="15"/>
        <v/>
      </c>
      <c r="T53" s="131" t="s">
        <v>322</v>
      </c>
      <c r="U53" s="42" t="str">
        <f t="shared" si="16"/>
        <v/>
      </c>
      <c r="V53" s="130" t="str">
        <f t="shared" si="17"/>
        <v/>
      </c>
      <c r="W53" s="131" t="s">
        <v>322</v>
      </c>
      <c r="X53" s="42" t="str">
        <f t="shared" si="18"/>
        <v/>
      </c>
      <c r="Y53" s="130" t="str">
        <f t="shared" si="19"/>
        <v/>
      </c>
      <c r="Z53" s="131" t="s">
        <v>322</v>
      </c>
      <c r="AA53" s="42" t="str">
        <f t="shared" si="20"/>
        <v/>
      </c>
      <c r="AB53" s="130" t="str">
        <f t="shared" si="21"/>
        <v/>
      </c>
      <c r="AC53" s="131" t="s">
        <v>322</v>
      </c>
      <c r="AD53" s="42" t="str">
        <f t="shared" si="22"/>
        <v/>
      </c>
      <c r="AE53" s="130" t="str">
        <f t="shared" si="23"/>
        <v/>
      </c>
      <c r="AF53" s="39" t="s">
        <v>322</v>
      </c>
      <c r="AG53" s="42" t="str">
        <f t="shared" si="24"/>
        <v/>
      </c>
      <c r="AH53" s="37" t="str">
        <f t="shared" si="25"/>
        <v/>
      </c>
      <c r="AI53" s="37" t="str">
        <f t="shared" si="26"/>
        <v/>
      </c>
      <c r="AJ53" s="52"/>
      <c r="AK53" s="145" t="str">
        <f t="shared" si="6"/>
        <v xml:space="preserve"> LINGUA PORTUGUESA</v>
      </c>
      <c r="AL53" s="141"/>
      <c r="AM53" s="141" t="str">
        <f t="shared" si="27"/>
        <v>Sem Dados</v>
      </c>
      <c r="AN53" s="141" t="str">
        <f t="shared" si="8"/>
        <v xml:space="preserve"> Sem Dados</v>
      </c>
      <c r="AO53" s="10"/>
      <c r="AP53" s="30"/>
      <c r="AQ53" s="31"/>
      <c r="AR53" s="32"/>
      <c r="AS53" s="11"/>
      <c r="BJ53" s="36"/>
    </row>
    <row r="54" spans="1:62" ht="15.75" x14ac:dyDescent="0.25">
      <c r="A54" s="36"/>
      <c r="B54" s="37" t="s">
        <v>41</v>
      </c>
      <c r="C54" s="37" t="str">
        <f t="shared" si="10"/>
        <v xml:space="preserve"> LINGUA PORTUGUESA</v>
      </c>
      <c r="D54" s="37"/>
      <c r="E54" s="37"/>
      <c r="F54" s="37"/>
      <c r="G54" s="37"/>
      <c r="H54" s="37"/>
      <c r="I54" s="37"/>
      <c r="J54" s="37"/>
      <c r="K54" s="37"/>
      <c r="L54" s="37" t="str">
        <f t="shared" si="11"/>
        <v>90% das partículas devem estar entre  a  HRC.</v>
      </c>
      <c r="M54" s="130" t="str">
        <f t="shared" si="12"/>
        <v/>
      </c>
      <c r="N54" s="131"/>
      <c r="O54" s="130" t="str">
        <f>IF(CONCATENATE(AS126,AT126,"%")="%","",CONCATENATE(AS126,AT126,"%"))</f>
        <v/>
      </c>
      <c r="P54" s="130" t="str">
        <f t="shared" si="13"/>
        <v/>
      </c>
      <c r="Q54" s="131"/>
      <c r="R54" s="42" t="str">
        <f t="shared" si="14"/>
        <v/>
      </c>
      <c r="S54" s="130" t="str">
        <f t="shared" si="15"/>
        <v/>
      </c>
      <c r="T54" s="131" t="s">
        <v>322</v>
      </c>
      <c r="U54" s="42" t="str">
        <f t="shared" si="16"/>
        <v/>
      </c>
      <c r="V54" s="130" t="str">
        <f t="shared" si="17"/>
        <v/>
      </c>
      <c r="W54" s="131" t="s">
        <v>322</v>
      </c>
      <c r="X54" s="42" t="str">
        <f t="shared" si="18"/>
        <v/>
      </c>
      <c r="Y54" s="130" t="str">
        <f t="shared" si="19"/>
        <v/>
      </c>
      <c r="Z54" s="131" t="s">
        <v>322</v>
      </c>
      <c r="AA54" s="42" t="str">
        <f t="shared" si="20"/>
        <v/>
      </c>
      <c r="AB54" s="130" t="str">
        <f t="shared" si="21"/>
        <v/>
      </c>
      <c r="AC54" s="131" t="s">
        <v>322</v>
      </c>
      <c r="AD54" s="42" t="str">
        <f t="shared" si="22"/>
        <v/>
      </c>
      <c r="AE54" s="130" t="str">
        <f t="shared" si="23"/>
        <v/>
      </c>
      <c r="AF54" s="39" t="s">
        <v>322</v>
      </c>
      <c r="AG54" s="42" t="str">
        <f t="shared" si="24"/>
        <v/>
      </c>
      <c r="AH54" s="37" t="str">
        <f t="shared" si="25"/>
        <v/>
      </c>
      <c r="AI54" s="37" t="str">
        <f t="shared" si="26"/>
        <v/>
      </c>
      <c r="AJ54" s="52"/>
      <c r="AK54" s="145" t="str">
        <f t="shared" si="6"/>
        <v xml:space="preserve"> LINGUA PORTUGUESA</v>
      </c>
      <c r="AL54" s="141"/>
      <c r="AM54" s="141" t="str">
        <f t="shared" si="27"/>
        <v>Sem Dados</v>
      </c>
      <c r="AN54" s="141" t="str">
        <f t="shared" si="8"/>
        <v xml:space="preserve"> Sem Dados</v>
      </c>
      <c r="AO54" s="10"/>
      <c r="AP54" s="30"/>
      <c r="AQ54" s="31"/>
      <c r="AR54" s="32"/>
      <c r="AS54" s="11"/>
      <c r="BJ54" s="36"/>
    </row>
    <row r="55" spans="1:62" ht="15.75" x14ac:dyDescent="0.25">
      <c r="A55" s="36"/>
      <c r="B55" s="37" t="s">
        <v>41</v>
      </c>
      <c r="C55" s="37" t="str">
        <f t="shared" si="10"/>
        <v xml:space="preserve"> LINGUA PORTUGUESA</v>
      </c>
      <c r="D55" s="37"/>
      <c r="E55" s="37"/>
      <c r="F55" s="37"/>
      <c r="G55" s="37"/>
      <c r="H55" s="37"/>
      <c r="I55" s="37"/>
      <c r="J55" s="37"/>
      <c r="K55" s="37"/>
      <c r="L55" s="37" t="str">
        <f t="shared" si="11"/>
        <v>90% das partículas devem estar entre  a  HRC.</v>
      </c>
      <c r="M55" s="130" t="str">
        <f t="shared" si="12"/>
        <v/>
      </c>
      <c r="N55" s="131"/>
      <c r="O55" s="130" t="str">
        <f>IF(CONCATENATE(AS127,AT127,"%")="%","",CONCATENATE(AS127,AT127,"%"))</f>
        <v/>
      </c>
      <c r="P55" s="130" t="str">
        <f t="shared" si="13"/>
        <v/>
      </c>
      <c r="Q55" s="131"/>
      <c r="R55" s="42" t="str">
        <f t="shared" si="14"/>
        <v/>
      </c>
      <c r="S55" s="130" t="str">
        <f t="shared" si="15"/>
        <v/>
      </c>
      <c r="T55" s="131" t="s">
        <v>322</v>
      </c>
      <c r="U55" s="42" t="str">
        <f t="shared" si="16"/>
        <v/>
      </c>
      <c r="V55" s="130" t="str">
        <f t="shared" si="17"/>
        <v/>
      </c>
      <c r="W55" s="131" t="s">
        <v>322</v>
      </c>
      <c r="X55" s="42" t="str">
        <f t="shared" si="18"/>
        <v/>
      </c>
      <c r="Y55" s="130" t="str">
        <f t="shared" si="19"/>
        <v/>
      </c>
      <c r="Z55" s="131" t="s">
        <v>322</v>
      </c>
      <c r="AA55" s="42" t="str">
        <f t="shared" si="20"/>
        <v/>
      </c>
      <c r="AB55" s="130" t="str">
        <f t="shared" si="21"/>
        <v/>
      </c>
      <c r="AC55" s="131" t="s">
        <v>322</v>
      </c>
      <c r="AD55" s="42" t="str">
        <f t="shared" si="22"/>
        <v/>
      </c>
      <c r="AE55" s="130" t="str">
        <f t="shared" si="23"/>
        <v/>
      </c>
      <c r="AF55" s="39" t="s">
        <v>322</v>
      </c>
      <c r="AG55" s="42" t="str">
        <f t="shared" si="24"/>
        <v/>
      </c>
      <c r="AH55" s="37" t="str">
        <f t="shared" si="25"/>
        <v/>
      </c>
      <c r="AI55" s="37" t="str">
        <f t="shared" si="26"/>
        <v/>
      </c>
      <c r="AJ55" s="52"/>
      <c r="AK55" s="145" t="str">
        <f t="shared" si="6"/>
        <v xml:space="preserve"> LINGUA PORTUGUESA</v>
      </c>
      <c r="AL55" s="141"/>
      <c r="AM55" s="141" t="str">
        <f t="shared" si="27"/>
        <v>Sem Dados</v>
      </c>
      <c r="AN55" s="141" t="str">
        <f t="shared" si="8"/>
        <v xml:space="preserve"> Sem Dados</v>
      </c>
      <c r="AO55" s="10"/>
      <c r="AP55" s="30"/>
      <c r="AQ55" s="31"/>
      <c r="AR55" s="32"/>
      <c r="AS55" s="11"/>
      <c r="BJ55" s="36"/>
    </row>
    <row r="56" spans="1:62" ht="15.75" x14ac:dyDescent="0.25">
      <c r="A56" s="36"/>
      <c r="B56" s="37" t="s">
        <v>41</v>
      </c>
      <c r="C56" s="37" t="str">
        <f t="shared" si="10"/>
        <v xml:space="preserve"> LINGUA PORTUGUESA</v>
      </c>
      <c r="D56" s="37"/>
      <c r="E56" s="37"/>
      <c r="F56" s="37"/>
      <c r="G56" s="37"/>
      <c r="H56" s="37"/>
      <c r="I56" s="37"/>
      <c r="J56" s="37"/>
      <c r="K56" s="37"/>
      <c r="L56" s="37" t="str">
        <f t="shared" si="11"/>
        <v>90% das partículas devem estar entre  a  HRC.</v>
      </c>
      <c r="M56" s="130" t="str">
        <f t="shared" si="12"/>
        <v/>
      </c>
      <c r="N56" s="131"/>
      <c r="O56" s="130" t="str">
        <f t="shared" ref="O56:O95" si="28">IF(CONCATENATE(AS128,AT128,"%")="%","",CONCATENATE(AS128,AT128,"%"))</f>
        <v/>
      </c>
      <c r="P56" s="130" t="str">
        <f t="shared" si="13"/>
        <v/>
      </c>
      <c r="Q56" s="131"/>
      <c r="R56" s="42" t="str">
        <f t="shared" si="14"/>
        <v/>
      </c>
      <c r="S56" s="130" t="str">
        <f t="shared" si="15"/>
        <v/>
      </c>
      <c r="T56" s="131" t="s">
        <v>322</v>
      </c>
      <c r="U56" s="42" t="str">
        <f t="shared" si="16"/>
        <v/>
      </c>
      <c r="V56" s="130" t="str">
        <f t="shared" si="17"/>
        <v/>
      </c>
      <c r="W56" s="131" t="s">
        <v>322</v>
      </c>
      <c r="X56" s="42" t="str">
        <f t="shared" si="18"/>
        <v/>
      </c>
      <c r="Y56" s="130" t="str">
        <f t="shared" si="19"/>
        <v/>
      </c>
      <c r="Z56" s="131" t="s">
        <v>322</v>
      </c>
      <c r="AA56" s="42" t="str">
        <f t="shared" si="20"/>
        <v/>
      </c>
      <c r="AB56" s="130" t="str">
        <f t="shared" si="21"/>
        <v/>
      </c>
      <c r="AC56" s="131" t="s">
        <v>322</v>
      </c>
      <c r="AD56" s="42" t="str">
        <f t="shared" si="22"/>
        <v/>
      </c>
      <c r="AE56" s="130" t="str">
        <f t="shared" si="23"/>
        <v/>
      </c>
      <c r="AF56" s="39" t="s">
        <v>322</v>
      </c>
      <c r="AG56" s="42" t="str">
        <f t="shared" si="24"/>
        <v/>
      </c>
      <c r="AH56" s="37" t="str">
        <f t="shared" si="25"/>
        <v/>
      </c>
      <c r="AI56" s="37" t="str">
        <f t="shared" si="26"/>
        <v/>
      </c>
      <c r="AJ56" s="52"/>
      <c r="AK56" s="145" t="str">
        <f t="shared" si="6"/>
        <v xml:space="preserve"> LINGUA PORTUGUESA</v>
      </c>
      <c r="AL56" s="141"/>
      <c r="AM56" s="141" t="str">
        <f t="shared" si="27"/>
        <v>Sem Dados</v>
      </c>
      <c r="AN56" s="141" t="str">
        <f t="shared" si="8"/>
        <v xml:space="preserve"> Sem Dados</v>
      </c>
      <c r="AO56" s="10"/>
      <c r="AP56" s="30"/>
      <c r="AQ56" s="31"/>
      <c r="AR56" s="32"/>
      <c r="AS56" s="11"/>
      <c r="BJ56" s="36"/>
    </row>
    <row r="57" spans="1:62" ht="15.75" x14ac:dyDescent="0.25">
      <c r="A57" s="36"/>
      <c r="B57" s="37" t="s">
        <v>41</v>
      </c>
      <c r="C57" s="37" t="str">
        <f t="shared" si="10"/>
        <v xml:space="preserve"> LINGUA PORTUGUESA</v>
      </c>
      <c r="D57" s="37"/>
      <c r="E57" s="37"/>
      <c r="F57" s="37"/>
      <c r="G57" s="37"/>
      <c r="H57" s="37"/>
      <c r="I57" s="37"/>
      <c r="J57" s="37"/>
      <c r="K57" s="37"/>
      <c r="L57" s="37" t="str">
        <f t="shared" si="11"/>
        <v>90% das partículas devem estar entre  a  HRC.</v>
      </c>
      <c r="M57" s="130" t="str">
        <f t="shared" si="12"/>
        <v/>
      </c>
      <c r="N57" s="131"/>
      <c r="O57" s="130" t="str">
        <f t="shared" si="28"/>
        <v/>
      </c>
      <c r="P57" s="130" t="str">
        <f t="shared" si="13"/>
        <v/>
      </c>
      <c r="Q57" s="131"/>
      <c r="R57" s="42" t="str">
        <f t="shared" si="14"/>
        <v/>
      </c>
      <c r="S57" s="130" t="str">
        <f t="shared" si="15"/>
        <v/>
      </c>
      <c r="T57" s="131" t="s">
        <v>322</v>
      </c>
      <c r="U57" s="42" t="str">
        <f t="shared" si="16"/>
        <v/>
      </c>
      <c r="V57" s="130" t="str">
        <f t="shared" si="17"/>
        <v/>
      </c>
      <c r="W57" s="131" t="s">
        <v>322</v>
      </c>
      <c r="X57" s="42" t="str">
        <f t="shared" si="18"/>
        <v/>
      </c>
      <c r="Y57" s="130" t="str">
        <f t="shared" si="19"/>
        <v/>
      </c>
      <c r="Z57" s="131" t="s">
        <v>322</v>
      </c>
      <c r="AA57" s="42" t="str">
        <f t="shared" si="20"/>
        <v/>
      </c>
      <c r="AB57" s="130" t="str">
        <f t="shared" si="21"/>
        <v/>
      </c>
      <c r="AC57" s="131" t="s">
        <v>322</v>
      </c>
      <c r="AD57" s="42" t="str">
        <f t="shared" si="22"/>
        <v/>
      </c>
      <c r="AE57" s="130" t="str">
        <f t="shared" si="23"/>
        <v/>
      </c>
      <c r="AF57" s="39" t="s">
        <v>322</v>
      </c>
      <c r="AG57" s="42" t="str">
        <f t="shared" si="24"/>
        <v/>
      </c>
      <c r="AH57" s="37" t="str">
        <f t="shared" si="25"/>
        <v/>
      </c>
      <c r="AI57" s="37" t="str">
        <f t="shared" si="26"/>
        <v/>
      </c>
      <c r="AJ57" s="52"/>
      <c r="AK57" s="145" t="str">
        <f t="shared" si="6"/>
        <v xml:space="preserve"> LINGUA PORTUGUESA</v>
      </c>
      <c r="AL57" s="141"/>
      <c r="AM57" s="141" t="str">
        <f t="shared" si="27"/>
        <v>Sem Dados</v>
      </c>
      <c r="AN57" s="141" t="str">
        <f t="shared" si="8"/>
        <v xml:space="preserve"> Sem Dados</v>
      </c>
      <c r="AO57" s="10"/>
      <c r="AP57" s="30"/>
      <c r="AQ57" s="31"/>
      <c r="AR57" s="32"/>
      <c r="AS57" s="11"/>
      <c r="BJ57" s="36"/>
    </row>
    <row r="58" spans="1:62" ht="15.75" x14ac:dyDescent="0.25">
      <c r="A58" s="36"/>
      <c r="B58" s="37" t="s">
        <v>41</v>
      </c>
      <c r="C58" s="37" t="str">
        <f t="shared" si="10"/>
        <v xml:space="preserve"> LINGUA PORTUGUESA</v>
      </c>
      <c r="D58" s="37"/>
      <c r="E58" s="37"/>
      <c r="F58" s="37"/>
      <c r="G58" s="37"/>
      <c r="H58" s="37"/>
      <c r="I58" s="37"/>
      <c r="J58" s="37"/>
      <c r="K58" s="37"/>
      <c r="L58" s="37" t="str">
        <f t="shared" si="11"/>
        <v>90% das partículas devem estar entre  a  HRC.</v>
      </c>
      <c r="M58" s="130" t="str">
        <f t="shared" si="12"/>
        <v/>
      </c>
      <c r="N58" s="131"/>
      <c r="O58" s="130" t="str">
        <f t="shared" si="28"/>
        <v/>
      </c>
      <c r="P58" s="130" t="str">
        <f t="shared" si="13"/>
        <v/>
      </c>
      <c r="Q58" s="131"/>
      <c r="R58" s="42" t="str">
        <f t="shared" si="14"/>
        <v/>
      </c>
      <c r="S58" s="130" t="str">
        <f t="shared" si="15"/>
        <v/>
      </c>
      <c r="T58" s="131" t="s">
        <v>322</v>
      </c>
      <c r="U58" s="42" t="str">
        <f t="shared" si="16"/>
        <v/>
      </c>
      <c r="V58" s="130" t="str">
        <f t="shared" si="17"/>
        <v/>
      </c>
      <c r="W58" s="131" t="s">
        <v>322</v>
      </c>
      <c r="X58" s="42" t="str">
        <f t="shared" si="18"/>
        <v/>
      </c>
      <c r="Y58" s="130" t="str">
        <f t="shared" si="19"/>
        <v/>
      </c>
      <c r="Z58" s="131" t="s">
        <v>322</v>
      </c>
      <c r="AA58" s="42" t="str">
        <f t="shared" si="20"/>
        <v/>
      </c>
      <c r="AB58" s="130" t="str">
        <f t="shared" si="21"/>
        <v/>
      </c>
      <c r="AC58" s="131" t="s">
        <v>322</v>
      </c>
      <c r="AD58" s="42" t="str">
        <f t="shared" si="22"/>
        <v/>
      </c>
      <c r="AE58" s="130" t="str">
        <f t="shared" si="23"/>
        <v/>
      </c>
      <c r="AF58" s="39" t="s">
        <v>322</v>
      </c>
      <c r="AG58" s="42" t="str">
        <f t="shared" si="24"/>
        <v/>
      </c>
      <c r="AH58" s="37" t="str">
        <f t="shared" si="25"/>
        <v/>
      </c>
      <c r="AI58" s="37" t="str">
        <f t="shared" si="26"/>
        <v/>
      </c>
      <c r="AJ58" s="52"/>
      <c r="AK58" s="145" t="str">
        <f t="shared" si="6"/>
        <v xml:space="preserve"> LINGUA PORTUGUESA</v>
      </c>
      <c r="AL58" s="141"/>
      <c r="AM58" s="141" t="str">
        <f t="shared" si="27"/>
        <v>Sem Dados</v>
      </c>
      <c r="AN58" s="141" t="str">
        <f t="shared" si="8"/>
        <v xml:space="preserve"> Sem Dados</v>
      </c>
      <c r="AO58" s="10"/>
      <c r="AP58" s="30"/>
      <c r="AQ58" s="31"/>
      <c r="AR58" s="32"/>
      <c r="AS58" s="11"/>
      <c r="BJ58" s="36"/>
    </row>
    <row r="59" spans="1:62" ht="15.75" x14ac:dyDescent="0.25">
      <c r="A59" s="36"/>
      <c r="B59" s="37" t="s">
        <v>41</v>
      </c>
      <c r="C59" s="37" t="str">
        <f t="shared" si="10"/>
        <v xml:space="preserve"> LINGUA PORTUGUESA</v>
      </c>
      <c r="D59" s="37"/>
      <c r="E59" s="37"/>
      <c r="F59" s="37"/>
      <c r="G59" s="37"/>
      <c r="H59" s="37"/>
      <c r="I59" s="37"/>
      <c r="J59" s="37"/>
      <c r="K59" s="37"/>
      <c r="L59" s="37" t="str">
        <f t="shared" si="11"/>
        <v>90% das partículas devem estar entre  a  HRC.</v>
      </c>
      <c r="M59" s="130" t="str">
        <f t="shared" si="12"/>
        <v/>
      </c>
      <c r="N59" s="131"/>
      <c r="O59" s="130" t="str">
        <f t="shared" si="28"/>
        <v/>
      </c>
      <c r="P59" s="130" t="str">
        <f t="shared" si="13"/>
        <v/>
      </c>
      <c r="Q59" s="131"/>
      <c r="R59" s="42" t="str">
        <f t="shared" si="14"/>
        <v/>
      </c>
      <c r="S59" s="130" t="str">
        <f t="shared" si="15"/>
        <v/>
      </c>
      <c r="T59" s="131" t="s">
        <v>322</v>
      </c>
      <c r="U59" s="42" t="str">
        <f t="shared" si="16"/>
        <v/>
      </c>
      <c r="V59" s="130" t="str">
        <f t="shared" si="17"/>
        <v/>
      </c>
      <c r="W59" s="131" t="s">
        <v>322</v>
      </c>
      <c r="X59" s="42" t="str">
        <f t="shared" si="18"/>
        <v/>
      </c>
      <c r="Y59" s="130" t="str">
        <f t="shared" si="19"/>
        <v/>
      </c>
      <c r="Z59" s="131" t="s">
        <v>322</v>
      </c>
      <c r="AA59" s="42" t="str">
        <f t="shared" si="20"/>
        <v/>
      </c>
      <c r="AB59" s="130" t="str">
        <f t="shared" si="21"/>
        <v/>
      </c>
      <c r="AC59" s="131" t="s">
        <v>322</v>
      </c>
      <c r="AD59" s="42" t="str">
        <f t="shared" si="22"/>
        <v/>
      </c>
      <c r="AE59" s="130" t="str">
        <f t="shared" si="23"/>
        <v/>
      </c>
      <c r="AF59" s="39" t="s">
        <v>322</v>
      </c>
      <c r="AG59" s="42" t="str">
        <f t="shared" si="24"/>
        <v/>
      </c>
      <c r="AH59" s="37" t="str">
        <f t="shared" si="25"/>
        <v/>
      </c>
      <c r="AI59" s="37" t="str">
        <f t="shared" si="26"/>
        <v/>
      </c>
      <c r="AJ59" s="52"/>
      <c r="AK59" s="145" t="str">
        <f t="shared" si="6"/>
        <v xml:space="preserve"> LINGUA PORTUGUESA</v>
      </c>
      <c r="AL59" s="141"/>
      <c r="AM59" s="141" t="str">
        <f t="shared" si="27"/>
        <v>Sem Dados</v>
      </c>
      <c r="AN59" s="141" t="str">
        <f t="shared" si="8"/>
        <v xml:space="preserve"> Sem Dados</v>
      </c>
      <c r="AO59" s="10"/>
      <c r="AP59" s="30"/>
      <c r="AQ59" s="31"/>
      <c r="AR59" s="32"/>
      <c r="AS59" s="11"/>
      <c r="BJ59" s="36"/>
    </row>
    <row r="60" spans="1:62" ht="15.75" x14ac:dyDescent="0.25">
      <c r="A60" s="36"/>
      <c r="B60" s="37" t="s">
        <v>41</v>
      </c>
      <c r="C60" s="37" t="str">
        <f t="shared" si="10"/>
        <v xml:space="preserve"> LINGUA PORTUGUESA</v>
      </c>
      <c r="D60" s="37"/>
      <c r="E60" s="37"/>
      <c r="F60" s="37"/>
      <c r="G60" s="37"/>
      <c r="H60" s="37"/>
      <c r="I60" s="37"/>
      <c r="J60" s="37"/>
      <c r="K60" s="37"/>
      <c r="L60" s="37" t="str">
        <f t="shared" si="11"/>
        <v>90% das partículas devem estar entre  a  HRC.</v>
      </c>
      <c r="M60" s="130" t="str">
        <f t="shared" si="12"/>
        <v/>
      </c>
      <c r="N60" s="131"/>
      <c r="O60" s="130" t="str">
        <f t="shared" si="28"/>
        <v/>
      </c>
      <c r="P60" s="130" t="str">
        <f t="shared" si="13"/>
        <v/>
      </c>
      <c r="Q60" s="131"/>
      <c r="R60" s="42" t="str">
        <f t="shared" si="14"/>
        <v/>
      </c>
      <c r="S60" s="130" t="str">
        <f t="shared" si="15"/>
        <v/>
      </c>
      <c r="T60" s="131" t="s">
        <v>322</v>
      </c>
      <c r="U60" s="42" t="str">
        <f t="shared" si="16"/>
        <v/>
      </c>
      <c r="V60" s="130" t="str">
        <f t="shared" si="17"/>
        <v/>
      </c>
      <c r="W60" s="131" t="s">
        <v>322</v>
      </c>
      <c r="X60" s="42" t="str">
        <f t="shared" si="18"/>
        <v/>
      </c>
      <c r="Y60" s="130" t="str">
        <f t="shared" si="19"/>
        <v/>
      </c>
      <c r="Z60" s="131" t="s">
        <v>322</v>
      </c>
      <c r="AA60" s="42" t="str">
        <f t="shared" si="20"/>
        <v/>
      </c>
      <c r="AB60" s="130" t="str">
        <f t="shared" si="21"/>
        <v/>
      </c>
      <c r="AC60" s="131" t="s">
        <v>322</v>
      </c>
      <c r="AD60" s="42" t="str">
        <f t="shared" si="22"/>
        <v/>
      </c>
      <c r="AE60" s="130" t="str">
        <f t="shared" si="23"/>
        <v/>
      </c>
      <c r="AF60" s="39" t="s">
        <v>322</v>
      </c>
      <c r="AG60" s="42" t="str">
        <f t="shared" si="24"/>
        <v/>
      </c>
      <c r="AH60" s="37" t="str">
        <f t="shared" si="25"/>
        <v/>
      </c>
      <c r="AI60" s="37" t="str">
        <f t="shared" si="26"/>
        <v/>
      </c>
      <c r="AJ60" s="52"/>
      <c r="AK60" s="145" t="str">
        <f t="shared" si="6"/>
        <v xml:space="preserve"> LINGUA PORTUGUESA</v>
      </c>
      <c r="AL60" s="141"/>
      <c r="AM60" s="141" t="str">
        <f t="shared" si="27"/>
        <v>Sem Dados</v>
      </c>
      <c r="AN60" s="141" t="str">
        <f t="shared" si="8"/>
        <v xml:space="preserve"> Sem Dados</v>
      </c>
      <c r="AO60" s="10"/>
      <c r="AP60" s="30"/>
      <c r="AQ60" s="31"/>
      <c r="AR60" s="32"/>
      <c r="AS60" s="11"/>
      <c r="BJ60" s="36"/>
    </row>
    <row r="61" spans="1:62" ht="15.75" x14ac:dyDescent="0.25">
      <c r="A61" s="36"/>
      <c r="B61" s="37" t="s">
        <v>41</v>
      </c>
      <c r="C61" s="37" t="str">
        <f t="shared" si="10"/>
        <v xml:space="preserve"> LINGUA PORTUGUESA</v>
      </c>
      <c r="D61" s="37"/>
      <c r="E61" s="37"/>
      <c r="F61" s="37"/>
      <c r="G61" s="37"/>
      <c r="H61" s="37"/>
      <c r="I61" s="37"/>
      <c r="J61" s="37"/>
      <c r="K61" s="37"/>
      <c r="L61" s="37" t="str">
        <f t="shared" si="11"/>
        <v>90% das partículas devem estar entre  a  HRC.</v>
      </c>
      <c r="M61" s="130" t="str">
        <f t="shared" si="12"/>
        <v/>
      </c>
      <c r="N61" s="131"/>
      <c r="O61" s="130" t="str">
        <f t="shared" si="28"/>
        <v/>
      </c>
      <c r="P61" s="130" t="str">
        <f t="shared" si="13"/>
        <v/>
      </c>
      <c r="Q61" s="131"/>
      <c r="R61" s="42" t="str">
        <f t="shared" si="14"/>
        <v/>
      </c>
      <c r="S61" s="130" t="str">
        <f t="shared" si="15"/>
        <v/>
      </c>
      <c r="T61" s="131" t="s">
        <v>322</v>
      </c>
      <c r="U61" s="42" t="str">
        <f t="shared" si="16"/>
        <v/>
      </c>
      <c r="V61" s="130" t="str">
        <f t="shared" si="17"/>
        <v/>
      </c>
      <c r="W61" s="131" t="s">
        <v>322</v>
      </c>
      <c r="X61" s="42" t="str">
        <f t="shared" si="18"/>
        <v/>
      </c>
      <c r="Y61" s="130" t="str">
        <f t="shared" si="19"/>
        <v/>
      </c>
      <c r="Z61" s="131" t="s">
        <v>322</v>
      </c>
      <c r="AA61" s="42" t="str">
        <f t="shared" si="20"/>
        <v/>
      </c>
      <c r="AB61" s="130" t="str">
        <f t="shared" si="21"/>
        <v/>
      </c>
      <c r="AC61" s="131" t="s">
        <v>322</v>
      </c>
      <c r="AD61" s="42" t="str">
        <f t="shared" si="22"/>
        <v/>
      </c>
      <c r="AE61" s="130" t="str">
        <f t="shared" si="23"/>
        <v/>
      </c>
      <c r="AF61" s="39" t="s">
        <v>322</v>
      </c>
      <c r="AG61" s="42" t="str">
        <f t="shared" si="24"/>
        <v/>
      </c>
      <c r="AH61" s="37" t="str">
        <f t="shared" si="25"/>
        <v/>
      </c>
      <c r="AI61" s="37" t="str">
        <f t="shared" si="26"/>
        <v/>
      </c>
      <c r="AJ61" s="52"/>
      <c r="AK61" s="145" t="str">
        <f t="shared" si="6"/>
        <v xml:space="preserve"> LINGUA PORTUGUESA</v>
      </c>
      <c r="AL61" s="141"/>
      <c r="AM61" s="141" t="str">
        <f t="shared" si="27"/>
        <v>Sem Dados</v>
      </c>
      <c r="AN61" s="141" t="str">
        <f t="shared" si="8"/>
        <v xml:space="preserve"> Sem Dados</v>
      </c>
      <c r="AO61" s="10"/>
      <c r="AP61" s="30"/>
      <c r="AQ61" s="31"/>
      <c r="AR61" s="32"/>
      <c r="AS61" s="11"/>
      <c r="BJ61" s="36"/>
    </row>
    <row r="62" spans="1:62" ht="15.75" x14ac:dyDescent="0.25">
      <c r="A62" s="36"/>
      <c r="B62" s="37" t="s">
        <v>41</v>
      </c>
      <c r="C62" s="37" t="str">
        <f t="shared" si="10"/>
        <v xml:space="preserve"> LINGUA PORTUGUESA</v>
      </c>
      <c r="D62" s="37"/>
      <c r="E62" s="37"/>
      <c r="F62" s="37"/>
      <c r="G62" s="37"/>
      <c r="H62" s="37"/>
      <c r="I62" s="37"/>
      <c r="J62" s="37"/>
      <c r="K62" s="37"/>
      <c r="L62" s="37" t="str">
        <f t="shared" si="11"/>
        <v>90% das partículas devem estar entre  a  HRC.</v>
      </c>
      <c r="M62" s="130" t="str">
        <f t="shared" si="12"/>
        <v/>
      </c>
      <c r="N62" s="131"/>
      <c r="O62" s="130" t="str">
        <f t="shared" si="28"/>
        <v/>
      </c>
      <c r="P62" s="130" t="str">
        <f t="shared" si="13"/>
        <v/>
      </c>
      <c r="Q62" s="131"/>
      <c r="R62" s="42" t="str">
        <f t="shared" si="14"/>
        <v/>
      </c>
      <c r="S62" s="130" t="str">
        <f t="shared" si="15"/>
        <v/>
      </c>
      <c r="T62" s="131" t="s">
        <v>322</v>
      </c>
      <c r="U62" s="42" t="str">
        <f t="shared" si="16"/>
        <v/>
      </c>
      <c r="V62" s="130" t="str">
        <f t="shared" si="17"/>
        <v/>
      </c>
      <c r="W62" s="131" t="s">
        <v>322</v>
      </c>
      <c r="X62" s="42" t="str">
        <f t="shared" si="18"/>
        <v/>
      </c>
      <c r="Y62" s="130" t="str">
        <f t="shared" si="19"/>
        <v/>
      </c>
      <c r="Z62" s="131" t="s">
        <v>322</v>
      </c>
      <c r="AA62" s="42" t="str">
        <f t="shared" si="20"/>
        <v/>
      </c>
      <c r="AB62" s="130" t="str">
        <f t="shared" si="21"/>
        <v/>
      </c>
      <c r="AC62" s="131" t="s">
        <v>322</v>
      </c>
      <c r="AD62" s="42" t="str">
        <f t="shared" si="22"/>
        <v/>
      </c>
      <c r="AE62" s="130" t="str">
        <f t="shared" si="23"/>
        <v/>
      </c>
      <c r="AF62" s="39" t="s">
        <v>322</v>
      </c>
      <c r="AG62" s="42" t="str">
        <f t="shared" si="24"/>
        <v/>
      </c>
      <c r="AH62" s="37" t="str">
        <f t="shared" si="25"/>
        <v/>
      </c>
      <c r="AI62" s="37" t="str">
        <f t="shared" si="26"/>
        <v/>
      </c>
      <c r="AJ62" s="52"/>
      <c r="AK62" s="145" t="str">
        <f t="shared" si="6"/>
        <v xml:space="preserve"> LINGUA PORTUGUESA</v>
      </c>
      <c r="AL62" s="141"/>
      <c r="AM62" s="141" t="str">
        <f t="shared" si="27"/>
        <v>Sem Dados</v>
      </c>
      <c r="AN62" s="141" t="str">
        <f t="shared" si="8"/>
        <v xml:space="preserve"> Sem Dados</v>
      </c>
      <c r="AO62" s="10"/>
      <c r="AP62" s="30"/>
      <c r="AQ62" s="31"/>
      <c r="AR62" s="32"/>
      <c r="AS62" s="11"/>
      <c r="BJ62" s="36"/>
    </row>
    <row r="63" spans="1:62" ht="15.75" x14ac:dyDescent="0.25">
      <c r="A63" s="36"/>
      <c r="B63" s="37" t="s">
        <v>41</v>
      </c>
      <c r="C63" s="37" t="str">
        <f t="shared" si="10"/>
        <v xml:space="preserve"> LINGUA PORTUGUESA</v>
      </c>
      <c r="D63" s="37"/>
      <c r="E63" s="37"/>
      <c r="F63" s="37"/>
      <c r="G63" s="37"/>
      <c r="H63" s="37"/>
      <c r="I63" s="37"/>
      <c r="J63" s="37"/>
      <c r="K63" s="37"/>
      <c r="L63" s="37" t="str">
        <f t="shared" si="11"/>
        <v>90% das partículas devem estar entre  a  HRC.</v>
      </c>
      <c r="M63" s="130" t="str">
        <f t="shared" si="12"/>
        <v/>
      </c>
      <c r="N63" s="131"/>
      <c r="O63" s="130" t="str">
        <f t="shared" si="28"/>
        <v/>
      </c>
      <c r="P63" s="130" t="str">
        <f t="shared" si="13"/>
        <v/>
      </c>
      <c r="Q63" s="131"/>
      <c r="R63" s="42" t="str">
        <f t="shared" si="14"/>
        <v/>
      </c>
      <c r="S63" s="130" t="str">
        <f t="shared" si="15"/>
        <v/>
      </c>
      <c r="T63" s="131" t="s">
        <v>322</v>
      </c>
      <c r="U63" s="42" t="str">
        <f t="shared" si="16"/>
        <v/>
      </c>
      <c r="V63" s="130" t="str">
        <f t="shared" si="17"/>
        <v/>
      </c>
      <c r="W63" s="131" t="s">
        <v>322</v>
      </c>
      <c r="X63" s="42" t="str">
        <f t="shared" si="18"/>
        <v/>
      </c>
      <c r="Y63" s="130" t="str">
        <f t="shared" si="19"/>
        <v/>
      </c>
      <c r="Z63" s="131" t="s">
        <v>322</v>
      </c>
      <c r="AA63" s="42" t="str">
        <f t="shared" si="20"/>
        <v/>
      </c>
      <c r="AB63" s="130" t="str">
        <f t="shared" si="21"/>
        <v/>
      </c>
      <c r="AC63" s="131" t="s">
        <v>322</v>
      </c>
      <c r="AD63" s="42" t="str">
        <f t="shared" si="22"/>
        <v/>
      </c>
      <c r="AE63" s="130" t="str">
        <f t="shared" si="23"/>
        <v/>
      </c>
      <c r="AF63" s="39" t="s">
        <v>322</v>
      </c>
      <c r="AG63" s="42" t="str">
        <f t="shared" si="24"/>
        <v/>
      </c>
      <c r="AH63" s="37" t="str">
        <f t="shared" si="25"/>
        <v/>
      </c>
      <c r="AI63" s="37" t="str">
        <f t="shared" si="26"/>
        <v/>
      </c>
      <c r="AJ63" s="52"/>
      <c r="AK63" s="145" t="str">
        <f t="shared" si="6"/>
        <v xml:space="preserve"> LINGUA PORTUGUESA</v>
      </c>
      <c r="AL63" s="141"/>
      <c r="AM63" s="141" t="str">
        <f t="shared" si="27"/>
        <v>Sem Dados</v>
      </c>
      <c r="AN63" s="141" t="str">
        <f t="shared" si="8"/>
        <v xml:space="preserve"> Sem Dados</v>
      </c>
      <c r="AO63" s="10"/>
      <c r="AP63" s="30"/>
      <c r="AQ63" s="31"/>
      <c r="AR63" s="32"/>
      <c r="AS63" s="11"/>
      <c r="BJ63" s="36"/>
    </row>
    <row r="64" spans="1:62" ht="15.75" x14ac:dyDescent="0.25">
      <c r="A64" s="36"/>
      <c r="B64" s="37" t="s">
        <v>41</v>
      </c>
      <c r="C64" s="37" t="str">
        <f t="shared" si="10"/>
        <v xml:space="preserve"> LINGUA PORTUGUESA</v>
      </c>
      <c r="D64" s="37"/>
      <c r="E64" s="37"/>
      <c r="F64" s="37"/>
      <c r="G64" s="37"/>
      <c r="H64" s="37"/>
      <c r="I64" s="37"/>
      <c r="J64" s="37"/>
      <c r="K64" s="37"/>
      <c r="L64" s="37" t="str">
        <f t="shared" si="11"/>
        <v>90% das partículas devem estar entre  a  HRC.</v>
      </c>
      <c r="M64" s="130" t="str">
        <f t="shared" si="12"/>
        <v/>
      </c>
      <c r="N64" s="131"/>
      <c r="O64" s="130" t="str">
        <f t="shared" si="28"/>
        <v/>
      </c>
      <c r="P64" s="130" t="str">
        <f t="shared" si="13"/>
        <v/>
      </c>
      <c r="Q64" s="131"/>
      <c r="R64" s="42" t="str">
        <f t="shared" si="14"/>
        <v/>
      </c>
      <c r="S64" s="130" t="str">
        <f t="shared" si="15"/>
        <v/>
      </c>
      <c r="T64" s="131" t="s">
        <v>322</v>
      </c>
      <c r="U64" s="42" t="str">
        <f t="shared" si="16"/>
        <v/>
      </c>
      <c r="V64" s="130" t="str">
        <f t="shared" si="17"/>
        <v/>
      </c>
      <c r="W64" s="131" t="s">
        <v>322</v>
      </c>
      <c r="X64" s="42" t="str">
        <f t="shared" si="18"/>
        <v/>
      </c>
      <c r="Y64" s="130" t="str">
        <f t="shared" si="19"/>
        <v/>
      </c>
      <c r="Z64" s="131" t="s">
        <v>322</v>
      </c>
      <c r="AA64" s="42" t="str">
        <f t="shared" si="20"/>
        <v/>
      </c>
      <c r="AB64" s="130" t="str">
        <f t="shared" si="21"/>
        <v/>
      </c>
      <c r="AC64" s="131" t="s">
        <v>322</v>
      </c>
      <c r="AD64" s="42" t="str">
        <f t="shared" si="22"/>
        <v/>
      </c>
      <c r="AE64" s="130" t="str">
        <f t="shared" si="23"/>
        <v/>
      </c>
      <c r="AF64" s="39" t="s">
        <v>322</v>
      </c>
      <c r="AG64" s="42" t="str">
        <f t="shared" si="24"/>
        <v/>
      </c>
      <c r="AH64" s="37" t="str">
        <f t="shared" si="25"/>
        <v/>
      </c>
      <c r="AI64" s="37" t="str">
        <f t="shared" si="26"/>
        <v/>
      </c>
      <c r="AJ64" s="52"/>
      <c r="AK64" s="145" t="str">
        <f t="shared" si="6"/>
        <v xml:space="preserve"> LINGUA PORTUGUESA</v>
      </c>
      <c r="AL64" s="141"/>
      <c r="AM64" s="141" t="str">
        <f t="shared" si="27"/>
        <v>Sem Dados</v>
      </c>
      <c r="AN64" s="141" t="str">
        <f t="shared" si="8"/>
        <v xml:space="preserve"> Sem Dados</v>
      </c>
      <c r="AO64" s="10"/>
      <c r="AP64" s="30"/>
      <c r="AQ64" s="31"/>
      <c r="AR64" s="32"/>
      <c r="AS64" s="11"/>
      <c r="BJ64" s="36"/>
    </row>
    <row r="65" spans="1:62" ht="15.75" x14ac:dyDescent="0.25">
      <c r="A65" s="36"/>
      <c r="B65" s="37" t="s">
        <v>41</v>
      </c>
      <c r="C65" s="37" t="str">
        <f t="shared" si="10"/>
        <v xml:space="preserve"> LINGUA PORTUGUESA</v>
      </c>
      <c r="D65" s="37"/>
      <c r="E65" s="37"/>
      <c r="F65" s="37"/>
      <c r="G65" s="37"/>
      <c r="H65" s="37"/>
      <c r="I65" s="37"/>
      <c r="J65" s="37"/>
      <c r="K65" s="37"/>
      <c r="L65" s="37" t="str">
        <f t="shared" si="11"/>
        <v>90% das partículas devem estar entre  a  HRC.</v>
      </c>
      <c r="M65" s="130" t="str">
        <f t="shared" si="12"/>
        <v/>
      </c>
      <c r="N65" s="131"/>
      <c r="O65" s="130" t="str">
        <f t="shared" si="28"/>
        <v/>
      </c>
      <c r="P65" s="130" t="str">
        <f t="shared" si="13"/>
        <v/>
      </c>
      <c r="Q65" s="131"/>
      <c r="R65" s="42" t="str">
        <f t="shared" si="14"/>
        <v/>
      </c>
      <c r="S65" s="130" t="str">
        <f t="shared" si="15"/>
        <v/>
      </c>
      <c r="T65" s="131" t="s">
        <v>322</v>
      </c>
      <c r="U65" s="42" t="str">
        <f t="shared" si="16"/>
        <v/>
      </c>
      <c r="V65" s="130" t="str">
        <f t="shared" si="17"/>
        <v/>
      </c>
      <c r="W65" s="131" t="s">
        <v>322</v>
      </c>
      <c r="X65" s="42" t="str">
        <f t="shared" si="18"/>
        <v/>
      </c>
      <c r="Y65" s="130" t="str">
        <f t="shared" si="19"/>
        <v/>
      </c>
      <c r="Z65" s="131" t="s">
        <v>322</v>
      </c>
      <c r="AA65" s="42" t="str">
        <f t="shared" si="20"/>
        <v/>
      </c>
      <c r="AB65" s="130" t="str">
        <f t="shared" si="21"/>
        <v/>
      </c>
      <c r="AC65" s="131" t="s">
        <v>322</v>
      </c>
      <c r="AD65" s="42" t="str">
        <f t="shared" si="22"/>
        <v/>
      </c>
      <c r="AE65" s="130" t="str">
        <f t="shared" si="23"/>
        <v/>
      </c>
      <c r="AF65" s="39" t="s">
        <v>322</v>
      </c>
      <c r="AG65" s="42" t="str">
        <f t="shared" si="24"/>
        <v/>
      </c>
      <c r="AH65" s="37" t="str">
        <f t="shared" si="25"/>
        <v/>
      </c>
      <c r="AI65" s="37" t="str">
        <f t="shared" si="26"/>
        <v/>
      </c>
      <c r="AJ65" s="52"/>
      <c r="AK65" s="145" t="str">
        <f t="shared" si="6"/>
        <v xml:space="preserve"> LINGUA PORTUGUESA</v>
      </c>
      <c r="AL65" s="141"/>
      <c r="AM65" s="141" t="str">
        <f t="shared" si="27"/>
        <v>Sem Dados</v>
      </c>
      <c r="AN65" s="141" t="str">
        <f t="shared" si="8"/>
        <v xml:space="preserve"> Sem Dados</v>
      </c>
      <c r="AO65" s="10"/>
      <c r="AP65" s="30"/>
      <c r="AQ65" s="31"/>
      <c r="AR65" s="32"/>
      <c r="AS65" s="11"/>
      <c r="BJ65" s="36"/>
    </row>
    <row r="66" spans="1:62" ht="15.75" x14ac:dyDescent="0.25">
      <c r="A66" s="36"/>
      <c r="B66" s="37" t="s">
        <v>41</v>
      </c>
      <c r="C66" s="37" t="str">
        <f t="shared" si="10"/>
        <v xml:space="preserve"> LINGUA PORTUGUESA</v>
      </c>
      <c r="D66" s="37"/>
      <c r="E66" s="37"/>
      <c r="F66" s="37"/>
      <c r="G66" s="37"/>
      <c r="H66" s="37"/>
      <c r="I66" s="37"/>
      <c r="J66" s="37"/>
      <c r="K66" s="37"/>
      <c r="L66" s="37" t="str">
        <f t="shared" si="11"/>
        <v>90% das partículas devem estar entre  a  HRC.</v>
      </c>
      <c r="M66" s="130" t="str">
        <f t="shared" si="12"/>
        <v/>
      </c>
      <c r="N66" s="131"/>
      <c r="O66" s="130" t="str">
        <f t="shared" si="28"/>
        <v/>
      </c>
      <c r="P66" s="130" t="str">
        <f t="shared" si="13"/>
        <v/>
      </c>
      <c r="Q66" s="131"/>
      <c r="R66" s="42" t="str">
        <f t="shared" si="14"/>
        <v/>
      </c>
      <c r="S66" s="130" t="str">
        <f t="shared" si="15"/>
        <v/>
      </c>
      <c r="T66" s="131" t="s">
        <v>322</v>
      </c>
      <c r="U66" s="42" t="str">
        <f t="shared" si="16"/>
        <v/>
      </c>
      <c r="V66" s="130" t="str">
        <f t="shared" si="17"/>
        <v/>
      </c>
      <c r="W66" s="131" t="s">
        <v>322</v>
      </c>
      <c r="X66" s="42" t="str">
        <f t="shared" si="18"/>
        <v/>
      </c>
      <c r="Y66" s="130" t="str">
        <f t="shared" si="19"/>
        <v/>
      </c>
      <c r="Z66" s="131" t="s">
        <v>322</v>
      </c>
      <c r="AA66" s="42" t="str">
        <f t="shared" si="20"/>
        <v/>
      </c>
      <c r="AB66" s="130" t="str">
        <f t="shared" si="21"/>
        <v/>
      </c>
      <c r="AC66" s="131" t="s">
        <v>322</v>
      </c>
      <c r="AD66" s="42" t="str">
        <f t="shared" si="22"/>
        <v/>
      </c>
      <c r="AE66" s="130" t="str">
        <f t="shared" si="23"/>
        <v/>
      </c>
      <c r="AF66" s="39" t="s">
        <v>322</v>
      </c>
      <c r="AG66" s="42" t="str">
        <f t="shared" si="24"/>
        <v/>
      </c>
      <c r="AH66" s="37" t="str">
        <f t="shared" si="25"/>
        <v/>
      </c>
      <c r="AI66" s="37" t="str">
        <f t="shared" si="26"/>
        <v/>
      </c>
      <c r="AJ66" s="52"/>
      <c r="AK66" s="145" t="str">
        <f t="shared" ref="AK66:AK95" si="29">C66</f>
        <v xml:space="preserve"> LINGUA PORTUGUESA</v>
      </c>
      <c r="AL66" s="141"/>
      <c r="AM66" s="141" t="str">
        <f t="shared" si="27"/>
        <v>Sem Dados</v>
      </c>
      <c r="AN66" s="141" t="str">
        <f t="shared" ref="AN66:AN95" si="30">CONCATENATE(AL66," ",AM66)</f>
        <v xml:space="preserve"> Sem Dados</v>
      </c>
      <c r="AO66" s="10"/>
      <c r="AP66" s="30"/>
      <c r="AQ66" s="31"/>
      <c r="AR66" s="32"/>
      <c r="AS66" s="11"/>
      <c r="BJ66" s="36"/>
    </row>
    <row r="67" spans="1:62" ht="15.75" x14ac:dyDescent="0.25">
      <c r="A67" s="36"/>
      <c r="B67" s="37" t="s">
        <v>41</v>
      </c>
      <c r="C67" s="37" t="str">
        <f t="shared" si="10"/>
        <v xml:space="preserve"> LINGUA PORTUGUESA</v>
      </c>
      <c r="D67" s="37"/>
      <c r="E67" s="37"/>
      <c r="F67" s="37"/>
      <c r="G67" s="37"/>
      <c r="H67" s="37"/>
      <c r="I67" s="37"/>
      <c r="J67" s="37"/>
      <c r="K67" s="37"/>
      <c r="L67" s="37" t="str">
        <f t="shared" si="11"/>
        <v>90% das partículas devem estar entre  a  HRC.</v>
      </c>
      <c r="M67" s="130" t="str">
        <f t="shared" si="12"/>
        <v/>
      </c>
      <c r="N67" s="131"/>
      <c r="O67" s="130" t="str">
        <f t="shared" si="28"/>
        <v/>
      </c>
      <c r="P67" s="130" t="str">
        <f t="shared" si="13"/>
        <v/>
      </c>
      <c r="Q67" s="131"/>
      <c r="R67" s="42" t="str">
        <f t="shared" si="14"/>
        <v/>
      </c>
      <c r="S67" s="130" t="str">
        <f t="shared" si="15"/>
        <v/>
      </c>
      <c r="T67" s="131" t="s">
        <v>322</v>
      </c>
      <c r="U67" s="42" t="str">
        <f t="shared" si="16"/>
        <v/>
      </c>
      <c r="V67" s="130" t="str">
        <f t="shared" si="17"/>
        <v/>
      </c>
      <c r="W67" s="131" t="s">
        <v>322</v>
      </c>
      <c r="X67" s="42" t="str">
        <f t="shared" si="18"/>
        <v/>
      </c>
      <c r="Y67" s="130" t="str">
        <f t="shared" si="19"/>
        <v/>
      </c>
      <c r="Z67" s="131" t="s">
        <v>322</v>
      </c>
      <c r="AA67" s="42" t="str">
        <f t="shared" si="20"/>
        <v/>
      </c>
      <c r="AB67" s="130" t="str">
        <f t="shared" si="21"/>
        <v/>
      </c>
      <c r="AC67" s="131" t="s">
        <v>322</v>
      </c>
      <c r="AD67" s="42" t="str">
        <f t="shared" si="22"/>
        <v/>
      </c>
      <c r="AE67" s="130" t="str">
        <f t="shared" si="23"/>
        <v/>
      </c>
      <c r="AF67" s="39" t="s">
        <v>322</v>
      </c>
      <c r="AG67" s="42" t="str">
        <f t="shared" si="24"/>
        <v/>
      </c>
      <c r="AH67" s="37" t="str">
        <f t="shared" si="25"/>
        <v/>
      </c>
      <c r="AI67" s="37" t="str">
        <f t="shared" si="26"/>
        <v/>
      </c>
      <c r="AJ67" s="52"/>
      <c r="AK67" s="145" t="str">
        <f t="shared" si="29"/>
        <v xml:space="preserve"> LINGUA PORTUGUESA</v>
      </c>
      <c r="AL67" s="141"/>
      <c r="AM67" s="141" t="str">
        <f t="shared" si="27"/>
        <v>Sem Dados</v>
      </c>
      <c r="AN67" s="141" t="str">
        <f t="shared" si="30"/>
        <v xml:space="preserve"> Sem Dados</v>
      </c>
      <c r="AO67" s="10"/>
      <c r="AP67" s="30"/>
      <c r="AQ67" s="31"/>
      <c r="AR67" s="32"/>
      <c r="AS67" s="11"/>
      <c r="BJ67" s="36"/>
    </row>
    <row r="68" spans="1:62" ht="15.75" x14ac:dyDescent="0.25">
      <c r="A68" s="36"/>
      <c r="B68" s="37" t="s">
        <v>41</v>
      </c>
      <c r="C68" s="37" t="str">
        <f t="shared" si="10"/>
        <v xml:space="preserve"> LINGUA PORTUGUESA</v>
      </c>
      <c r="D68" s="37"/>
      <c r="E68" s="37"/>
      <c r="F68" s="37"/>
      <c r="G68" s="37"/>
      <c r="H68" s="37"/>
      <c r="I68" s="37"/>
      <c r="J68" s="37"/>
      <c r="K68" s="37"/>
      <c r="L68" s="37" t="str">
        <f t="shared" si="11"/>
        <v>90% das partículas devem estar entre  a  HRC.</v>
      </c>
      <c r="M68" s="130" t="str">
        <f t="shared" si="12"/>
        <v/>
      </c>
      <c r="N68" s="131"/>
      <c r="O68" s="130" t="str">
        <f t="shared" si="28"/>
        <v/>
      </c>
      <c r="P68" s="130" t="str">
        <f t="shared" si="13"/>
        <v/>
      </c>
      <c r="Q68" s="131"/>
      <c r="R68" s="42" t="str">
        <f t="shared" si="14"/>
        <v/>
      </c>
      <c r="S68" s="130" t="str">
        <f t="shared" si="15"/>
        <v/>
      </c>
      <c r="T68" s="131" t="s">
        <v>322</v>
      </c>
      <c r="U68" s="42" t="str">
        <f t="shared" si="16"/>
        <v/>
      </c>
      <c r="V68" s="130" t="str">
        <f t="shared" si="17"/>
        <v/>
      </c>
      <c r="W68" s="131" t="s">
        <v>322</v>
      </c>
      <c r="X68" s="42" t="str">
        <f t="shared" si="18"/>
        <v/>
      </c>
      <c r="Y68" s="130" t="str">
        <f t="shared" si="19"/>
        <v/>
      </c>
      <c r="Z68" s="131" t="s">
        <v>322</v>
      </c>
      <c r="AA68" s="42" t="str">
        <f t="shared" si="20"/>
        <v/>
      </c>
      <c r="AB68" s="130" t="str">
        <f t="shared" si="21"/>
        <v/>
      </c>
      <c r="AC68" s="131" t="s">
        <v>322</v>
      </c>
      <c r="AD68" s="42" t="str">
        <f t="shared" si="22"/>
        <v/>
      </c>
      <c r="AE68" s="130" t="str">
        <f t="shared" si="23"/>
        <v/>
      </c>
      <c r="AF68" s="39" t="s">
        <v>322</v>
      </c>
      <c r="AG68" s="42" t="str">
        <f t="shared" si="24"/>
        <v/>
      </c>
      <c r="AH68" s="37" t="str">
        <f t="shared" si="25"/>
        <v/>
      </c>
      <c r="AI68" s="37" t="str">
        <f t="shared" si="26"/>
        <v/>
      </c>
      <c r="AJ68" s="52"/>
      <c r="AK68" s="145" t="str">
        <f t="shared" si="29"/>
        <v xml:space="preserve"> LINGUA PORTUGUESA</v>
      </c>
      <c r="AL68" s="141"/>
      <c r="AM68" s="141" t="str">
        <f t="shared" si="27"/>
        <v>Sem Dados</v>
      </c>
      <c r="AN68" s="141" t="str">
        <f t="shared" si="30"/>
        <v xml:space="preserve"> Sem Dados</v>
      </c>
      <c r="AO68" s="10"/>
      <c r="AP68" s="30"/>
      <c r="AQ68" s="31"/>
      <c r="AR68" s="32"/>
      <c r="AS68" s="11"/>
      <c r="BJ68" s="36"/>
    </row>
    <row r="69" spans="1:62" ht="15.75" x14ac:dyDescent="0.25">
      <c r="A69" s="36"/>
      <c r="B69" s="37" t="s">
        <v>41</v>
      </c>
      <c r="C69" s="37" t="str">
        <f t="shared" si="10"/>
        <v xml:space="preserve"> LINGUA PORTUGUESA</v>
      </c>
      <c r="D69" s="37"/>
      <c r="E69" s="37"/>
      <c r="F69" s="37"/>
      <c r="G69" s="37"/>
      <c r="H69" s="37"/>
      <c r="I69" s="37"/>
      <c r="J69" s="37"/>
      <c r="K69" s="37"/>
      <c r="L69" s="37" t="str">
        <f t="shared" si="11"/>
        <v>90% das partículas devem estar entre  a  HRC.</v>
      </c>
      <c r="M69" s="130" t="str">
        <f t="shared" si="12"/>
        <v/>
      </c>
      <c r="N69" s="131"/>
      <c r="O69" s="130" t="str">
        <f t="shared" si="28"/>
        <v/>
      </c>
      <c r="P69" s="130" t="str">
        <f t="shared" si="13"/>
        <v/>
      </c>
      <c r="Q69" s="131"/>
      <c r="R69" s="42" t="str">
        <f t="shared" si="14"/>
        <v/>
      </c>
      <c r="S69" s="130" t="str">
        <f t="shared" si="15"/>
        <v/>
      </c>
      <c r="T69" s="131" t="s">
        <v>322</v>
      </c>
      <c r="U69" s="42" t="str">
        <f t="shared" si="16"/>
        <v/>
      </c>
      <c r="V69" s="130" t="str">
        <f t="shared" si="17"/>
        <v/>
      </c>
      <c r="W69" s="131" t="s">
        <v>322</v>
      </c>
      <c r="X69" s="42" t="str">
        <f t="shared" si="18"/>
        <v/>
      </c>
      <c r="Y69" s="130" t="str">
        <f t="shared" si="19"/>
        <v/>
      </c>
      <c r="Z69" s="131" t="s">
        <v>322</v>
      </c>
      <c r="AA69" s="42" t="str">
        <f t="shared" si="20"/>
        <v/>
      </c>
      <c r="AB69" s="130" t="str">
        <f t="shared" si="21"/>
        <v/>
      </c>
      <c r="AC69" s="131" t="s">
        <v>322</v>
      </c>
      <c r="AD69" s="42" t="str">
        <f t="shared" si="22"/>
        <v/>
      </c>
      <c r="AE69" s="130" t="str">
        <f t="shared" si="23"/>
        <v/>
      </c>
      <c r="AF69" s="39" t="s">
        <v>322</v>
      </c>
      <c r="AG69" s="42" t="str">
        <f t="shared" si="24"/>
        <v/>
      </c>
      <c r="AH69" s="37" t="str">
        <f t="shared" si="25"/>
        <v/>
      </c>
      <c r="AI69" s="37" t="str">
        <f t="shared" si="26"/>
        <v/>
      </c>
      <c r="AJ69" s="52"/>
      <c r="AK69" s="145" t="str">
        <f t="shared" si="29"/>
        <v xml:space="preserve"> LINGUA PORTUGUESA</v>
      </c>
      <c r="AL69" s="141"/>
      <c r="AM69" s="141" t="str">
        <f t="shared" si="27"/>
        <v>Sem Dados</v>
      </c>
      <c r="AN69" s="141" t="str">
        <f t="shared" si="30"/>
        <v xml:space="preserve"> Sem Dados</v>
      </c>
      <c r="AO69" s="10"/>
      <c r="AP69" s="30"/>
      <c r="AQ69" s="31"/>
      <c r="AR69" s="32"/>
      <c r="AS69" s="11"/>
      <c r="BJ69" s="36"/>
    </row>
    <row r="70" spans="1:62" ht="15.75" x14ac:dyDescent="0.25">
      <c r="A70" s="36"/>
      <c r="B70" s="37" t="s">
        <v>41</v>
      </c>
      <c r="C70" s="37" t="str">
        <f t="shared" si="10"/>
        <v xml:space="preserve"> LINGUA PORTUGUESA</v>
      </c>
      <c r="D70" s="37"/>
      <c r="E70" s="37"/>
      <c r="F70" s="37"/>
      <c r="G70" s="37"/>
      <c r="H70" s="37"/>
      <c r="I70" s="37"/>
      <c r="J70" s="37"/>
      <c r="K70" s="37"/>
      <c r="L70" s="37" t="str">
        <f t="shared" si="11"/>
        <v>90% das partículas devem estar entre  a  HRC.</v>
      </c>
      <c r="M70" s="130" t="str">
        <f t="shared" si="12"/>
        <v/>
      </c>
      <c r="N70" s="131"/>
      <c r="O70" s="130" t="str">
        <f t="shared" si="28"/>
        <v/>
      </c>
      <c r="P70" s="130" t="str">
        <f t="shared" si="13"/>
        <v/>
      </c>
      <c r="Q70" s="131"/>
      <c r="R70" s="42" t="str">
        <f t="shared" si="14"/>
        <v/>
      </c>
      <c r="S70" s="130" t="str">
        <f t="shared" si="15"/>
        <v/>
      </c>
      <c r="T70" s="131"/>
      <c r="U70" s="42" t="str">
        <f t="shared" si="16"/>
        <v/>
      </c>
      <c r="V70" s="130" t="str">
        <f t="shared" si="17"/>
        <v/>
      </c>
      <c r="W70" s="131"/>
      <c r="X70" s="42" t="str">
        <f t="shared" si="18"/>
        <v/>
      </c>
      <c r="Y70" s="130" t="str">
        <f t="shared" si="19"/>
        <v/>
      </c>
      <c r="Z70" s="131"/>
      <c r="AA70" s="42" t="str">
        <f t="shared" si="20"/>
        <v/>
      </c>
      <c r="AB70" s="130" t="str">
        <f t="shared" si="21"/>
        <v/>
      </c>
      <c r="AC70" s="131"/>
      <c r="AD70" s="42" t="str">
        <f t="shared" si="22"/>
        <v/>
      </c>
      <c r="AE70" s="130" t="str">
        <f t="shared" si="23"/>
        <v/>
      </c>
      <c r="AF70" s="39"/>
      <c r="AG70" s="42" t="str">
        <f t="shared" si="24"/>
        <v/>
      </c>
      <c r="AH70" s="37" t="str">
        <f t="shared" si="25"/>
        <v/>
      </c>
      <c r="AI70" s="37" t="str">
        <f t="shared" si="26"/>
        <v/>
      </c>
      <c r="AJ70" s="52"/>
      <c r="AK70" s="145" t="str">
        <f t="shared" si="29"/>
        <v xml:space="preserve"> LINGUA PORTUGUESA</v>
      </c>
      <c r="AL70" s="141"/>
      <c r="AM70" s="141" t="str">
        <f t="shared" si="27"/>
        <v>Sem Dados</v>
      </c>
      <c r="AN70" s="141" t="str">
        <f t="shared" si="30"/>
        <v xml:space="preserve"> Sem Dados</v>
      </c>
      <c r="AO70" s="10"/>
      <c r="AP70" s="30"/>
      <c r="AQ70" s="31"/>
      <c r="AR70" s="32"/>
      <c r="AS70" s="11"/>
      <c r="BJ70" s="36"/>
    </row>
    <row r="71" spans="1:62" ht="15.75" x14ac:dyDescent="0.25">
      <c r="A71" s="36"/>
      <c r="B71" s="37" t="s">
        <v>41</v>
      </c>
      <c r="C71" s="37" t="str">
        <f t="shared" si="10"/>
        <v xml:space="preserve"> LINGUA PORTUGUESA</v>
      </c>
      <c r="D71" s="37"/>
      <c r="E71" s="37"/>
      <c r="F71" s="37"/>
      <c r="G71" s="37"/>
      <c r="H71" s="37"/>
      <c r="I71" s="37"/>
      <c r="J71" s="37"/>
      <c r="K71" s="37"/>
      <c r="L71" s="37" t="str">
        <f t="shared" si="11"/>
        <v>90% das partículas devem estar entre  a  HRC.</v>
      </c>
      <c r="M71" s="130" t="str">
        <f t="shared" si="12"/>
        <v/>
      </c>
      <c r="N71" s="131"/>
      <c r="O71" s="130" t="str">
        <f t="shared" si="28"/>
        <v/>
      </c>
      <c r="P71" s="130" t="str">
        <f t="shared" si="13"/>
        <v/>
      </c>
      <c r="Q71" s="131"/>
      <c r="R71" s="42" t="str">
        <f t="shared" si="14"/>
        <v/>
      </c>
      <c r="S71" s="130" t="str">
        <f t="shared" si="15"/>
        <v/>
      </c>
      <c r="T71" s="131"/>
      <c r="U71" s="42" t="str">
        <f t="shared" si="16"/>
        <v/>
      </c>
      <c r="V71" s="130" t="str">
        <f t="shared" si="17"/>
        <v/>
      </c>
      <c r="W71" s="131"/>
      <c r="X71" s="42" t="str">
        <f t="shared" si="18"/>
        <v/>
      </c>
      <c r="Y71" s="130" t="str">
        <f t="shared" si="19"/>
        <v/>
      </c>
      <c r="Z71" s="131"/>
      <c r="AA71" s="42" t="str">
        <f t="shared" si="20"/>
        <v/>
      </c>
      <c r="AB71" s="130" t="str">
        <f t="shared" si="21"/>
        <v/>
      </c>
      <c r="AC71" s="131"/>
      <c r="AD71" s="42" t="str">
        <f t="shared" si="22"/>
        <v/>
      </c>
      <c r="AE71" s="130" t="str">
        <f t="shared" si="23"/>
        <v/>
      </c>
      <c r="AF71" s="39"/>
      <c r="AG71" s="42" t="str">
        <f t="shared" si="24"/>
        <v/>
      </c>
      <c r="AH71" s="37" t="str">
        <f t="shared" si="25"/>
        <v/>
      </c>
      <c r="AI71" s="37" t="str">
        <f t="shared" si="26"/>
        <v/>
      </c>
      <c r="AJ71" s="52"/>
      <c r="AK71" s="145" t="str">
        <f t="shared" si="29"/>
        <v xml:space="preserve"> LINGUA PORTUGUESA</v>
      </c>
      <c r="AL71" s="141"/>
      <c r="AM71" s="141" t="str">
        <f t="shared" si="27"/>
        <v>Sem Dados</v>
      </c>
      <c r="AN71" s="141" t="str">
        <f t="shared" si="30"/>
        <v xml:space="preserve"> Sem Dados</v>
      </c>
      <c r="AO71" s="10"/>
      <c r="AP71" s="30"/>
      <c r="AQ71" s="31"/>
      <c r="AR71" s="32"/>
      <c r="AS71" s="11"/>
      <c r="BJ71" s="36"/>
    </row>
    <row r="72" spans="1:62" ht="15.75" x14ac:dyDescent="0.25">
      <c r="A72" s="36"/>
      <c r="B72" s="37" t="s">
        <v>41</v>
      </c>
      <c r="C72" s="37" t="str">
        <f t="shared" si="10"/>
        <v xml:space="preserve"> LINGUA PORTUGUESA</v>
      </c>
      <c r="D72" s="37"/>
      <c r="E72" s="37"/>
      <c r="F72" s="37"/>
      <c r="G72" s="37"/>
      <c r="H72" s="37"/>
      <c r="I72" s="37"/>
      <c r="J72" s="37"/>
      <c r="K72" s="37"/>
      <c r="L72" s="37" t="str">
        <f t="shared" si="11"/>
        <v>90% das partículas devem estar entre  a  HRC.</v>
      </c>
      <c r="M72" s="130" t="str">
        <f t="shared" si="12"/>
        <v/>
      </c>
      <c r="N72" s="131"/>
      <c r="O72" s="130" t="str">
        <f t="shared" si="28"/>
        <v/>
      </c>
      <c r="P72" s="130" t="str">
        <f t="shared" si="13"/>
        <v/>
      </c>
      <c r="Q72" s="131"/>
      <c r="R72" s="42" t="str">
        <f t="shared" si="14"/>
        <v/>
      </c>
      <c r="S72" s="130" t="str">
        <f t="shared" si="15"/>
        <v/>
      </c>
      <c r="T72" s="131"/>
      <c r="U72" s="42" t="str">
        <f t="shared" si="16"/>
        <v/>
      </c>
      <c r="V72" s="130" t="str">
        <f t="shared" si="17"/>
        <v/>
      </c>
      <c r="W72" s="131"/>
      <c r="X72" s="42" t="str">
        <f t="shared" si="18"/>
        <v/>
      </c>
      <c r="Y72" s="130" t="str">
        <f t="shared" si="19"/>
        <v/>
      </c>
      <c r="Z72" s="131"/>
      <c r="AA72" s="42" t="str">
        <f t="shared" si="20"/>
        <v/>
      </c>
      <c r="AB72" s="130" t="str">
        <f t="shared" si="21"/>
        <v/>
      </c>
      <c r="AC72" s="131"/>
      <c r="AD72" s="42" t="str">
        <f t="shared" si="22"/>
        <v/>
      </c>
      <c r="AE72" s="130" t="str">
        <f t="shared" si="23"/>
        <v/>
      </c>
      <c r="AF72" s="39"/>
      <c r="AG72" s="42" t="str">
        <f t="shared" si="24"/>
        <v/>
      </c>
      <c r="AH72" s="37" t="str">
        <f t="shared" si="25"/>
        <v/>
      </c>
      <c r="AI72" s="37" t="str">
        <f t="shared" si="26"/>
        <v/>
      </c>
      <c r="AJ72" s="52"/>
      <c r="AK72" s="145" t="str">
        <f t="shared" si="29"/>
        <v xml:space="preserve"> LINGUA PORTUGUESA</v>
      </c>
      <c r="AL72" s="141"/>
      <c r="AM72" s="141" t="str">
        <f t="shared" si="27"/>
        <v>Sem Dados</v>
      </c>
      <c r="AN72" s="141" t="str">
        <f t="shared" si="30"/>
        <v xml:space="preserve"> Sem Dados</v>
      </c>
      <c r="AO72" s="10"/>
      <c r="AP72" s="30"/>
      <c r="AQ72" s="31"/>
      <c r="AR72" s="32"/>
      <c r="AS72" s="11"/>
      <c r="BJ72" s="36"/>
    </row>
    <row r="73" spans="1:62" ht="15.75" x14ac:dyDescent="0.25">
      <c r="A73" s="36"/>
      <c r="B73" s="37" t="s">
        <v>41</v>
      </c>
      <c r="C73" s="37" t="str">
        <f t="shared" si="10"/>
        <v xml:space="preserve"> LINGUA PORTUGUESA</v>
      </c>
      <c r="D73" s="37"/>
      <c r="E73" s="37"/>
      <c r="F73" s="37"/>
      <c r="G73" s="37"/>
      <c r="H73" s="37"/>
      <c r="I73" s="37"/>
      <c r="J73" s="37"/>
      <c r="K73" s="37"/>
      <c r="L73" s="37" t="str">
        <f t="shared" si="11"/>
        <v>90% das partículas devem estar entre  a  HRC.</v>
      </c>
      <c r="M73" s="130" t="str">
        <f t="shared" si="12"/>
        <v/>
      </c>
      <c r="N73" s="131"/>
      <c r="O73" s="130" t="str">
        <f t="shared" si="28"/>
        <v/>
      </c>
      <c r="P73" s="130" t="str">
        <f t="shared" si="13"/>
        <v/>
      </c>
      <c r="Q73" s="131"/>
      <c r="R73" s="42" t="str">
        <f t="shared" si="14"/>
        <v/>
      </c>
      <c r="S73" s="130" t="str">
        <f t="shared" si="15"/>
        <v/>
      </c>
      <c r="T73" s="131"/>
      <c r="U73" s="42" t="str">
        <f t="shared" si="16"/>
        <v/>
      </c>
      <c r="V73" s="130" t="str">
        <f t="shared" si="17"/>
        <v/>
      </c>
      <c r="W73" s="131"/>
      <c r="X73" s="42" t="str">
        <f t="shared" si="18"/>
        <v/>
      </c>
      <c r="Y73" s="130" t="str">
        <f t="shared" si="19"/>
        <v/>
      </c>
      <c r="Z73" s="131"/>
      <c r="AA73" s="42" t="str">
        <f t="shared" si="20"/>
        <v/>
      </c>
      <c r="AB73" s="130" t="str">
        <f t="shared" si="21"/>
        <v/>
      </c>
      <c r="AC73" s="131"/>
      <c r="AD73" s="42" t="str">
        <f t="shared" si="22"/>
        <v/>
      </c>
      <c r="AE73" s="130" t="str">
        <f t="shared" si="23"/>
        <v/>
      </c>
      <c r="AF73" s="39"/>
      <c r="AG73" s="42" t="str">
        <f t="shared" si="24"/>
        <v/>
      </c>
      <c r="AH73" s="37" t="str">
        <f t="shared" si="25"/>
        <v/>
      </c>
      <c r="AI73" s="37" t="str">
        <f t="shared" si="26"/>
        <v/>
      </c>
      <c r="AJ73" s="52"/>
      <c r="AK73" s="145" t="str">
        <f t="shared" si="29"/>
        <v xml:space="preserve"> LINGUA PORTUGUESA</v>
      </c>
      <c r="AL73" s="141"/>
      <c r="AM73" s="141" t="str">
        <f t="shared" si="27"/>
        <v>Sem Dados</v>
      </c>
      <c r="AN73" s="141" t="str">
        <f t="shared" si="30"/>
        <v xml:space="preserve"> Sem Dados</v>
      </c>
      <c r="AO73" s="10"/>
      <c r="AP73" s="30"/>
      <c r="AQ73" s="31"/>
      <c r="AR73" s="32"/>
      <c r="AS73" s="11"/>
      <c r="BJ73" s="36"/>
    </row>
    <row r="74" spans="1:62" ht="16.5" thickBot="1" x14ac:dyDescent="0.3">
      <c r="A74" s="36"/>
      <c r="B74" s="37" t="s">
        <v>41</v>
      </c>
      <c r="C74" s="37" t="str">
        <f t="shared" si="10"/>
        <v xml:space="preserve"> LINGUA PORTUGUESA</v>
      </c>
      <c r="D74" s="37"/>
      <c r="E74" s="37"/>
      <c r="F74" s="37"/>
      <c r="G74" s="37"/>
      <c r="H74" s="37"/>
      <c r="I74" s="37"/>
      <c r="J74" s="37"/>
      <c r="K74" s="37"/>
      <c r="L74" s="37" t="str">
        <f t="shared" si="11"/>
        <v>90% das partículas devem estar entre  a  HRC.</v>
      </c>
      <c r="M74" s="130" t="str">
        <f t="shared" si="12"/>
        <v/>
      </c>
      <c r="N74" s="131"/>
      <c r="O74" s="130" t="str">
        <f t="shared" si="28"/>
        <v/>
      </c>
      <c r="P74" s="130" t="str">
        <f t="shared" si="13"/>
        <v/>
      </c>
      <c r="Q74" s="131"/>
      <c r="R74" s="42" t="str">
        <f t="shared" si="14"/>
        <v/>
      </c>
      <c r="S74" s="130" t="str">
        <f t="shared" si="15"/>
        <v/>
      </c>
      <c r="T74" s="131"/>
      <c r="U74" s="42" t="str">
        <f t="shared" si="16"/>
        <v/>
      </c>
      <c r="V74" s="130" t="str">
        <f t="shared" si="17"/>
        <v/>
      </c>
      <c r="W74" s="131"/>
      <c r="X74" s="42" t="str">
        <f t="shared" si="18"/>
        <v/>
      </c>
      <c r="Y74" s="130" t="str">
        <f t="shared" si="19"/>
        <v/>
      </c>
      <c r="Z74" s="131"/>
      <c r="AA74" s="42" t="str">
        <f t="shared" si="20"/>
        <v/>
      </c>
      <c r="AB74" s="130" t="str">
        <f t="shared" si="21"/>
        <v/>
      </c>
      <c r="AC74" s="131"/>
      <c r="AD74" s="42" t="str">
        <f t="shared" si="22"/>
        <v/>
      </c>
      <c r="AE74" s="130" t="str">
        <f t="shared" si="23"/>
        <v/>
      </c>
      <c r="AF74" s="39"/>
      <c r="AG74" s="42" t="str">
        <f t="shared" si="24"/>
        <v/>
      </c>
      <c r="AH74" s="37" t="str">
        <f t="shared" si="25"/>
        <v/>
      </c>
      <c r="AI74" s="37" t="str">
        <f t="shared" si="26"/>
        <v/>
      </c>
      <c r="AJ74" s="52"/>
      <c r="AK74" s="145" t="str">
        <f t="shared" si="29"/>
        <v xml:space="preserve"> LINGUA PORTUGUESA</v>
      </c>
      <c r="AL74" s="141"/>
      <c r="AM74" s="141" t="str">
        <f t="shared" si="27"/>
        <v>Sem Dados</v>
      </c>
      <c r="AN74" s="141" t="str">
        <f t="shared" si="30"/>
        <v xml:space="preserve"> Sem Dados</v>
      </c>
      <c r="AO74" s="10"/>
      <c r="AP74" s="33"/>
      <c r="AQ74" s="34"/>
      <c r="AR74" s="35"/>
      <c r="AS74" s="11"/>
      <c r="BJ74" s="36"/>
    </row>
    <row r="75" spans="1:62" ht="15.75" x14ac:dyDescent="0.25">
      <c r="A75" s="36"/>
      <c r="B75" s="37" t="s">
        <v>41</v>
      </c>
      <c r="C75" s="37" t="str">
        <f t="shared" si="10"/>
        <v xml:space="preserve"> LINGUA PORTUGUESA</v>
      </c>
      <c r="D75" s="37"/>
      <c r="E75" s="37"/>
      <c r="F75" s="37"/>
      <c r="G75" s="37"/>
      <c r="H75" s="37"/>
      <c r="I75" s="37"/>
      <c r="J75" s="37"/>
      <c r="K75" s="37"/>
      <c r="L75" s="37" t="str">
        <f t="shared" si="11"/>
        <v>90% das partículas devem estar entre  a  HRC.</v>
      </c>
      <c r="M75" s="130" t="str">
        <f t="shared" si="12"/>
        <v/>
      </c>
      <c r="N75" s="131"/>
      <c r="O75" s="130" t="str">
        <f t="shared" si="28"/>
        <v/>
      </c>
      <c r="P75" s="130" t="str">
        <f t="shared" si="13"/>
        <v/>
      </c>
      <c r="Q75" s="131"/>
      <c r="R75" s="42" t="str">
        <f t="shared" si="14"/>
        <v/>
      </c>
      <c r="S75" s="130" t="str">
        <f t="shared" si="15"/>
        <v/>
      </c>
      <c r="T75" s="131"/>
      <c r="U75" s="42" t="str">
        <f t="shared" si="16"/>
        <v/>
      </c>
      <c r="V75" s="130" t="str">
        <f t="shared" si="17"/>
        <v/>
      </c>
      <c r="W75" s="131"/>
      <c r="X75" s="42" t="str">
        <f t="shared" si="18"/>
        <v/>
      </c>
      <c r="Y75" s="130" t="str">
        <f t="shared" si="19"/>
        <v/>
      </c>
      <c r="Z75" s="131"/>
      <c r="AA75" s="42" t="str">
        <f t="shared" si="20"/>
        <v/>
      </c>
      <c r="AB75" s="130" t="str">
        <f t="shared" si="21"/>
        <v/>
      </c>
      <c r="AC75" s="131"/>
      <c r="AD75" s="42" t="str">
        <f t="shared" si="22"/>
        <v/>
      </c>
      <c r="AE75" s="130" t="str">
        <f t="shared" si="23"/>
        <v/>
      </c>
      <c r="AF75" s="39"/>
      <c r="AG75" s="42" t="str">
        <f t="shared" si="24"/>
        <v/>
      </c>
      <c r="AH75" s="37" t="str">
        <f t="shared" si="25"/>
        <v/>
      </c>
      <c r="AI75" s="37" t="str">
        <f t="shared" si="26"/>
        <v/>
      </c>
      <c r="AJ75" s="52"/>
      <c r="AK75" s="145" t="str">
        <f t="shared" si="29"/>
        <v xml:space="preserve"> LINGUA PORTUGUESA</v>
      </c>
      <c r="AL75" s="141"/>
      <c r="AM75" s="141" t="str">
        <f t="shared" si="27"/>
        <v>Sem Dados</v>
      </c>
      <c r="AN75" s="141" t="str">
        <f t="shared" si="30"/>
        <v xml:space="preserve"> Sem Dados</v>
      </c>
      <c r="AO75" s="10"/>
      <c r="AS75" s="11"/>
      <c r="BJ75" s="36"/>
    </row>
    <row r="76" spans="1:62" ht="15.75" x14ac:dyDescent="0.25">
      <c r="A76" s="36"/>
      <c r="B76" s="37" t="s">
        <v>41</v>
      </c>
      <c r="C76" s="37" t="str">
        <f t="shared" si="10"/>
        <v xml:space="preserve"> LINGUA PORTUGUESA</v>
      </c>
      <c r="D76" s="37"/>
      <c r="E76" s="37"/>
      <c r="F76" s="37"/>
      <c r="G76" s="37"/>
      <c r="H76" s="37"/>
      <c r="I76" s="37"/>
      <c r="J76" s="37"/>
      <c r="K76" s="37"/>
      <c r="L76" s="37" t="str">
        <f t="shared" si="11"/>
        <v>90% das partículas devem estar entre  a  HRC.</v>
      </c>
      <c r="M76" s="130" t="str">
        <f t="shared" si="12"/>
        <v/>
      </c>
      <c r="N76" s="131"/>
      <c r="O76" s="130" t="str">
        <f t="shared" si="28"/>
        <v/>
      </c>
      <c r="P76" s="130" t="str">
        <f t="shared" si="13"/>
        <v/>
      </c>
      <c r="Q76" s="131"/>
      <c r="R76" s="42" t="str">
        <f t="shared" si="14"/>
        <v/>
      </c>
      <c r="S76" s="130" t="str">
        <f t="shared" si="15"/>
        <v/>
      </c>
      <c r="T76" s="131"/>
      <c r="U76" s="42" t="str">
        <f t="shared" si="16"/>
        <v/>
      </c>
      <c r="V76" s="130" t="str">
        <f t="shared" si="17"/>
        <v/>
      </c>
      <c r="W76" s="131"/>
      <c r="X76" s="42" t="str">
        <f t="shared" si="18"/>
        <v/>
      </c>
      <c r="Y76" s="130" t="str">
        <f t="shared" si="19"/>
        <v/>
      </c>
      <c r="Z76" s="131"/>
      <c r="AA76" s="42" t="str">
        <f t="shared" si="20"/>
        <v/>
      </c>
      <c r="AB76" s="130" t="str">
        <f t="shared" si="21"/>
        <v/>
      </c>
      <c r="AC76" s="131"/>
      <c r="AD76" s="42" t="str">
        <f t="shared" si="22"/>
        <v/>
      </c>
      <c r="AE76" s="130" t="str">
        <f t="shared" si="23"/>
        <v/>
      </c>
      <c r="AF76" s="39"/>
      <c r="AG76" s="42" t="str">
        <f t="shared" si="24"/>
        <v/>
      </c>
      <c r="AH76" s="37" t="str">
        <f t="shared" si="25"/>
        <v/>
      </c>
      <c r="AI76" s="37" t="str">
        <f t="shared" si="26"/>
        <v/>
      </c>
      <c r="AJ76" s="52"/>
      <c r="AK76" s="145" t="str">
        <f t="shared" si="29"/>
        <v xml:space="preserve"> LINGUA PORTUGUESA</v>
      </c>
      <c r="AL76" s="141"/>
      <c r="AM76" s="141" t="str">
        <f t="shared" si="27"/>
        <v>Sem Dados</v>
      </c>
      <c r="AN76" s="141" t="str">
        <f t="shared" si="30"/>
        <v xml:space="preserve"> Sem Dados</v>
      </c>
      <c r="AO76" s="10"/>
      <c r="AS76" s="11"/>
      <c r="BJ76" s="36"/>
    </row>
    <row r="77" spans="1:62" ht="15.75" x14ac:dyDescent="0.25">
      <c r="A77" s="36"/>
      <c r="B77" s="37" t="s">
        <v>41</v>
      </c>
      <c r="C77" s="37" t="str">
        <f t="shared" si="10"/>
        <v xml:space="preserve"> LINGUA PORTUGUESA</v>
      </c>
      <c r="D77" s="37"/>
      <c r="E77" s="37"/>
      <c r="F77" s="37"/>
      <c r="G77" s="37"/>
      <c r="H77" s="37"/>
      <c r="I77" s="37"/>
      <c r="J77" s="37"/>
      <c r="K77" s="37"/>
      <c r="L77" s="37" t="str">
        <f t="shared" si="11"/>
        <v>90% das partículas devem estar entre  a  HRC.</v>
      </c>
      <c r="M77" s="130" t="str">
        <f t="shared" si="12"/>
        <v/>
      </c>
      <c r="N77" s="131"/>
      <c r="O77" s="130" t="str">
        <f t="shared" si="28"/>
        <v/>
      </c>
      <c r="P77" s="130" t="str">
        <f t="shared" si="13"/>
        <v/>
      </c>
      <c r="Q77" s="131"/>
      <c r="R77" s="42" t="str">
        <f t="shared" si="14"/>
        <v/>
      </c>
      <c r="S77" s="130" t="str">
        <f t="shared" si="15"/>
        <v/>
      </c>
      <c r="T77" s="131"/>
      <c r="U77" s="42" t="str">
        <f t="shared" si="16"/>
        <v/>
      </c>
      <c r="V77" s="130" t="str">
        <f t="shared" si="17"/>
        <v/>
      </c>
      <c r="W77" s="131"/>
      <c r="X77" s="42" t="str">
        <f t="shared" si="18"/>
        <v/>
      </c>
      <c r="Y77" s="130" t="str">
        <f t="shared" si="19"/>
        <v/>
      </c>
      <c r="Z77" s="131"/>
      <c r="AA77" s="42" t="str">
        <f t="shared" si="20"/>
        <v/>
      </c>
      <c r="AB77" s="130" t="str">
        <f t="shared" si="21"/>
        <v/>
      </c>
      <c r="AC77" s="131"/>
      <c r="AD77" s="42" t="str">
        <f t="shared" si="22"/>
        <v/>
      </c>
      <c r="AE77" s="130" t="str">
        <f t="shared" si="23"/>
        <v/>
      </c>
      <c r="AF77" s="39"/>
      <c r="AG77" s="42" t="str">
        <f t="shared" si="24"/>
        <v/>
      </c>
      <c r="AH77" s="37" t="str">
        <f t="shared" si="25"/>
        <v/>
      </c>
      <c r="AI77" s="37" t="str">
        <f t="shared" si="26"/>
        <v/>
      </c>
      <c r="AJ77" s="52"/>
      <c r="AK77" s="145" t="str">
        <f t="shared" si="29"/>
        <v xml:space="preserve"> LINGUA PORTUGUESA</v>
      </c>
      <c r="AL77" s="141"/>
      <c r="AM77" s="141" t="str">
        <f t="shared" si="27"/>
        <v>Sem Dados</v>
      </c>
      <c r="AN77" s="141" t="str">
        <f t="shared" si="30"/>
        <v xml:space="preserve"> Sem Dados</v>
      </c>
      <c r="AO77" s="10"/>
      <c r="AS77" s="11"/>
      <c r="BJ77" s="36"/>
    </row>
    <row r="78" spans="1:62" ht="15.75" x14ac:dyDescent="0.25">
      <c r="A78" s="36"/>
      <c r="B78" s="37" t="s">
        <v>41</v>
      </c>
      <c r="C78" s="37" t="str">
        <f t="shared" si="10"/>
        <v xml:space="preserve"> LINGUA PORTUGUESA</v>
      </c>
      <c r="D78" s="37"/>
      <c r="E78" s="37"/>
      <c r="F78" s="37"/>
      <c r="G78" s="37"/>
      <c r="H78" s="37"/>
      <c r="I78" s="37"/>
      <c r="J78" s="37"/>
      <c r="K78" s="37"/>
      <c r="L78" s="37" t="str">
        <f t="shared" si="11"/>
        <v>90% das partículas devem estar entre  a  HRC.</v>
      </c>
      <c r="M78" s="130" t="str">
        <f t="shared" si="12"/>
        <v/>
      </c>
      <c r="N78" s="131"/>
      <c r="O78" s="130" t="str">
        <f t="shared" si="28"/>
        <v/>
      </c>
      <c r="P78" s="130" t="str">
        <f t="shared" si="13"/>
        <v/>
      </c>
      <c r="Q78" s="131"/>
      <c r="R78" s="42" t="str">
        <f t="shared" si="14"/>
        <v/>
      </c>
      <c r="S78" s="130" t="str">
        <f t="shared" si="15"/>
        <v/>
      </c>
      <c r="T78" s="131"/>
      <c r="U78" s="42" t="str">
        <f t="shared" si="16"/>
        <v/>
      </c>
      <c r="V78" s="130" t="str">
        <f t="shared" si="17"/>
        <v/>
      </c>
      <c r="W78" s="131"/>
      <c r="X78" s="42" t="str">
        <f t="shared" si="18"/>
        <v/>
      </c>
      <c r="Y78" s="130" t="str">
        <f t="shared" si="19"/>
        <v/>
      </c>
      <c r="Z78" s="131"/>
      <c r="AA78" s="42" t="str">
        <f t="shared" si="20"/>
        <v/>
      </c>
      <c r="AB78" s="130" t="str">
        <f t="shared" si="21"/>
        <v/>
      </c>
      <c r="AC78" s="131"/>
      <c r="AD78" s="42" t="str">
        <f t="shared" si="22"/>
        <v/>
      </c>
      <c r="AE78" s="130" t="str">
        <f t="shared" si="23"/>
        <v/>
      </c>
      <c r="AF78" s="39"/>
      <c r="AG78" s="42" t="str">
        <f t="shared" si="24"/>
        <v/>
      </c>
      <c r="AH78" s="37" t="str">
        <f t="shared" si="25"/>
        <v/>
      </c>
      <c r="AI78" s="37" t="str">
        <f t="shared" si="26"/>
        <v/>
      </c>
      <c r="AJ78" s="52"/>
      <c r="AK78" s="145" t="str">
        <f t="shared" si="29"/>
        <v xml:space="preserve"> LINGUA PORTUGUESA</v>
      </c>
      <c r="AL78" s="141"/>
      <c r="AM78" s="141" t="str">
        <f t="shared" si="27"/>
        <v>Sem Dados</v>
      </c>
      <c r="AN78" s="141" t="str">
        <f t="shared" si="30"/>
        <v xml:space="preserve"> Sem Dados</v>
      </c>
      <c r="AO78" s="10"/>
      <c r="AS78" s="11"/>
      <c r="BJ78" s="36"/>
    </row>
    <row r="79" spans="1:62" ht="15.75" x14ac:dyDescent="0.25">
      <c r="A79" s="36"/>
      <c r="B79" s="37" t="s">
        <v>41</v>
      </c>
      <c r="C79" s="37" t="str">
        <f t="shared" si="10"/>
        <v xml:space="preserve"> LINGUA PORTUGUESA</v>
      </c>
      <c r="D79" s="37"/>
      <c r="E79" s="37"/>
      <c r="F79" s="37"/>
      <c r="G79" s="37"/>
      <c r="H79" s="37"/>
      <c r="I79" s="37"/>
      <c r="J79" s="37"/>
      <c r="K79" s="37"/>
      <c r="L79" s="37" t="str">
        <f t="shared" si="11"/>
        <v>90% das partículas devem estar entre  a  HRC.</v>
      </c>
      <c r="M79" s="130" t="str">
        <f t="shared" si="12"/>
        <v/>
      </c>
      <c r="N79" s="131"/>
      <c r="O79" s="130" t="str">
        <f t="shared" si="28"/>
        <v/>
      </c>
      <c r="P79" s="130" t="str">
        <f t="shared" si="13"/>
        <v/>
      </c>
      <c r="Q79" s="131"/>
      <c r="R79" s="42" t="str">
        <f t="shared" si="14"/>
        <v/>
      </c>
      <c r="S79" s="130" t="str">
        <f t="shared" si="15"/>
        <v/>
      </c>
      <c r="T79" s="131"/>
      <c r="U79" s="42" t="str">
        <f t="shared" si="16"/>
        <v/>
      </c>
      <c r="V79" s="130" t="str">
        <f t="shared" si="17"/>
        <v/>
      </c>
      <c r="W79" s="131"/>
      <c r="X79" s="42" t="str">
        <f t="shared" si="18"/>
        <v/>
      </c>
      <c r="Y79" s="130" t="str">
        <f t="shared" si="19"/>
        <v/>
      </c>
      <c r="Z79" s="131"/>
      <c r="AA79" s="42" t="str">
        <f t="shared" si="20"/>
        <v/>
      </c>
      <c r="AB79" s="130" t="str">
        <f t="shared" si="21"/>
        <v/>
      </c>
      <c r="AC79" s="131"/>
      <c r="AD79" s="42" t="str">
        <f t="shared" si="22"/>
        <v/>
      </c>
      <c r="AE79" s="130" t="str">
        <f t="shared" si="23"/>
        <v/>
      </c>
      <c r="AF79" s="39"/>
      <c r="AG79" s="42" t="str">
        <f t="shared" si="24"/>
        <v/>
      </c>
      <c r="AH79" s="37" t="str">
        <f t="shared" si="25"/>
        <v/>
      </c>
      <c r="AI79" s="37" t="str">
        <f t="shared" si="26"/>
        <v/>
      </c>
      <c r="AJ79" s="52"/>
      <c r="AK79" s="145" t="str">
        <f t="shared" si="29"/>
        <v xml:space="preserve"> LINGUA PORTUGUESA</v>
      </c>
      <c r="AL79" s="141"/>
      <c r="AM79" s="141" t="str">
        <f t="shared" si="27"/>
        <v>Sem Dados</v>
      </c>
      <c r="AN79" s="141" t="str">
        <f t="shared" si="30"/>
        <v xml:space="preserve"> Sem Dados</v>
      </c>
      <c r="AO79" s="10"/>
      <c r="BJ79" s="36"/>
    </row>
    <row r="80" spans="1:62" ht="15.75" x14ac:dyDescent="0.25">
      <c r="A80" s="36"/>
      <c r="B80" s="37" t="s">
        <v>41</v>
      </c>
      <c r="C80" s="37" t="str">
        <f t="shared" si="10"/>
        <v xml:space="preserve"> LINGUA PORTUGUESA</v>
      </c>
      <c r="D80" s="37"/>
      <c r="E80" s="37"/>
      <c r="F80" s="37"/>
      <c r="G80" s="37"/>
      <c r="H80" s="37"/>
      <c r="I80" s="37"/>
      <c r="J80" s="37"/>
      <c r="K80" s="37"/>
      <c r="L80" s="37" t="str">
        <f t="shared" si="11"/>
        <v>90% das partículas devem estar entre  a  HRC.</v>
      </c>
      <c r="M80" s="130" t="str">
        <f t="shared" si="12"/>
        <v/>
      </c>
      <c r="N80" s="131"/>
      <c r="O80" s="130" t="str">
        <f t="shared" si="28"/>
        <v/>
      </c>
      <c r="P80" s="130" t="str">
        <f t="shared" si="13"/>
        <v/>
      </c>
      <c r="Q80" s="131"/>
      <c r="R80" s="42" t="str">
        <f t="shared" si="14"/>
        <v/>
      </c>
      <c r="S80" s="130" t="str">
        <f t="shared" si="15"/>
        <v/>
      </c>
      <c r="T80" s="131"/>
      <c r="U80" s="42" t="str">
        <f t="shared" si="16"/>
        <v/>
      </c>
      <c r="V80" s="130" t="str">
        <f t="shared" si="17"/>
        <v/>
      </c>
      <c r="W80" s="131"/>
      <c r="X80" s="42" t="str">
        <f t="shared" si="18"/>
        <v/>
      </c>
      <c r="Y80" s="130" t="str">
        <f t="shared" si="19"/>
        <v/>
      </c>
      <c r="Z80" s="131"/>
      <c r="AA80" s="42" t="str">
        <f t="shared" si="20"/>
        <v/>
      </c>
      <c r="AB80" s="130" t="str">
        <f t="shared" si="21"/>
        <v/>
      </c>
      <c r="AC80" s="131"/>
      <c r="AD80" s="42" t="str">
        <f t="shared" si="22"/>
        <v/>
      </c>
      <c r="AE80" s="130" t="str">
        <f t="shared" si="23"/>
        <v/>
      </c>
      <c r="AF80" s="39"/>
      <c r="AG80" s="42" t="str">
        <f t="shared" si="24"/>
        <v/>
      </c>
      <c r="AH80" s="37" t="str">
        <f t="shared" si="25"/>
        <v/>
      </c>
      <c r="AI80" s="37" t="str">
        <f t="shared" si="26"/>
        <v/>
      </c>
      <c r="AJ80" s="52"/>
      <c r="AK80" s="145" t="str">
        <f t="shared" si="29"/>
        <v xml:space="preserve"> LINGUA PORTUGUESA</v>
      </c>
      <c r="AL80" s="141"/>
      <c r="AM80" s="141" t="str">
        <f t="shared" si="27"/>
        <v>Sem Dados</v>
      </c>
      <c r="AN80" s="141" t="str">
        <f t="shared" si="30"/>
        <v xml:space="preserve"> Sem Dados</v>
      </c>
      <c r="AO80" s="10"/>
      <c r="BJ80" s="36"/>
    </row>
    <row r="81" spans="1:62" ht="15.75" x14ac:dyDescent="0.25">
      <c r="A81" s="36"/>
      <c r="B81" s="37" t="s">
        <v>41</v>
      </c>
      <c r="C81" s="37" t="str">
        <f t="shared" si="10"/>
        <v xml:space="preserve"> LINGUA PORTUGUESA</v>
      </c>
      <c r="D81" s="37"/>
      <c r="E81" s="37"/>
      <c r="F81" s="37"/>
      <c r="G81" s="37"/>
      <c r="H81" s="37"/>
      <c r="I81" s="37"/>
      <c r="J81" s="37"/>
      <c r="K81" s="37"/>
      <c r="L81" s="37" t="str">
        <f t="shared" si="11"/>
        <v>90% das partículas devem estar entre  a  HRC.</v>
      </c>
      <c r="M81" s="130" t="str">
        <f t="shared" si="12"/>
        <v/>
      </c>
      <c r="N81" s="131"/>
      <c r="O81" s="130" t="str">
        <f t="shared" si="28"/>
        <v/>
      </c>
      <c r="P81" s="130" t="str">
        <f t="shared" si="13"/>
        <v/>
      </c>
      <c r="Q81" s="131"/>
      <c r="R81" s="42" t="str">
        <f t="shared" si="14"/>
        <v/>
      </c>
      <c r="S81" s="130" t="str">
        <f t="shared" si="15"/>
        <v/>
      </c>
      <c r="T81" s="131"/>
      <c r="U81" s="42" t="str">
        <f t="shared" si="16"/>
        <v/>
      </c>
      <c r="V81" s="130" t="str">
        <f t="shared" si="17"/>
        <v/>
      </c>
      <c r="W81" s="131"/>
      <c r="X81" s="42" t="str">
        <f t="shared" si="18"/>
        <v/>
      </c>
      <c r="Y81" s="130" t="str">
        <f t="shared" si="19"/>
        <v/>
      </c>
      <c r="Z81" s="131"/>
      <c r="AA81" s="42" t="str">
        <f t="shared" si="20"/>
        <v/>
      </c>
      <c r="AB81" s="130" t="str">
        <f t="shared" si="21"/>
        <v/>
      </c>
      <c r="AC81" s="131"/>
      <c r="AD81" s="42" t="str">
        <f t="shared" si="22"/>
        <v/>
      </c>
      <c r="AE81" s="130" t="str">
        <f t="shared" si="23"/>
        <v/>
      </c>
      <c r="AF81" s="39"/>
      <c r="AG81" s="42" t="str">
        <f t="shared" si="24"/>
        <v/>
      </c>
      <c r="AH81" s="37" t="str">
        <f t="shared" si="25"/>
        <v/>
      </c>
      <c r="AI81" s="37" t="str">
        <f t="shared" si="26"/>
        <v/>
      </c>
      <c r="AJ81" s="52"/>
      <c r="AK81" s="145" t="str">
        <f t="shared" si="29"/>
        <v xml:space="preserve"> LINGUA PORTUGUESA</v>
      </c>
      <c r="AL81" s="141"/>
      <c r="AM81" s="141" t="str">
        <f t="shared" si="27"/>
        <v>Sem Dados</v>
      </c>
      <c r="AN81" s="141" t="str">
        <f t="shared" si="30"/>
        <v xml:space="preserve"> Sem Dados</v>
      </c>
      <c r="AO81" s="10"/>
      <c r="BJ81" s="36"/>
    </row>
    <row r="82" spans="1:62" ht="15.75" customHeight="1" x14ac:dyDescent="0.25">
      <c r="A82" s="36"/>
      <c r="B82" s="37" t="s">
        <v>41</v>
      </c>
      <c r="C82" s="37" t="str">
        <f t="shared" si="10"/>
        <v xml:space="preserve"> LINGUA PORTUGUESA</v>
      </c>
      <c r="D82" s="37"/>
      <c r="E82" s="37"/>
      <c r="F82" s="37"/>
      <c r="G82" s="37"/>
      <c r="H82" s="37"/>
      <c r="I82" s="37"/>
      <c r="J82" s="37"/>
      <c r="K82" s="37"/>
      <c r="L82" s="37" t="str">
        <f t="shared" si="11"/>
        <v>90% das partículas devem estar entre  a  HRC.</v>
      </c>
      <c r="M82" s="130" t="str">
        <f t="shared" si="12"/>
        <v/>
      </c>
      <c r="N82" s="131"/>
      <c r="O82" s="130" t="str">
        <f t="shared" si="28"/>
        <v/>
      </c>
      <c r="P82" s="130" t="str">
        <f t="shared" si="13"/>
        <v/>
      </c>
      <c r="Q82" s="131"/>
      <c r="R82" s="42" t="str">
        <f t="shared" si="14"/>
        <v/>
      </c>
      <c r="S82" s="130" t="str">
        <f t="shared" si="15"/>
        <v/>
      </c>
      <c r="T82" s="131"/>
      <c r="U82" s="42" t="str">
        <f t="shared" si="16"/>
        <v/>
      </c>
      <c r="V82" s="130" t="str">
        <f t="shared" si="17"/>
        <v/>
      </c>
      <c r="W82" s="131"/>
      <c r="X82" s="42" t="str">
        <f t="shared" si="18"/>
        <v/>
      </c>
      <c r="Y82" s="130" t="str">
        <f t="shared" si="19"/>
        <v/>
      </c>
      <c r="Z82" s="131"/>
      <c r="AA82" s="42" t="str">
        <f t="shared" si="20"/>
        <v/>
      </c>
      <c r="AB82" s="130" t="str">
        <f t="shared" si="21"/>
        <v/>
      </c>
      <c r="AC82" s="131"/>
      <c r="AD82" s="42" t="str">
        <f t="shared" si="22"/>
        <v/>
      </c>
      <c r="AE82" s="130" t="str">
        <f t="shared" si="23"/>
        <v/>
      </c>
      <c r="AF82" s="39"/>
      <c r="AG82" s="42" t="str">
        <f t="shared" si="24"/>
        <v/>
      </c>
      <c r="AH82" s="37" t="str">
        <f t="shared" si="25"/>
        <v/>
      </c>
      <c r="AI82" s="37" t="str">
        <f t="shared" si="26"/>
        <v/>
      </c>
      <c r="AJ82" s="52"/>
      <c r="AK82" s="145" t="str">
        <f t="shared" si="29"/>
        <v xml:space="preserve"> LINGUA PORTUGUESA</v>
      </c>
      <c r="AL82" s="141"/>
      <c r="AM82" s="141" t="str">
        <f t="shared" si="27"/>
        <v>Sem Dados</v>
      </c>
      <c r="AN82" s="141" t="str">
        <f t="shared" si="30"/>
        <v xml:space="preserve"> Sem Dados</v>
      </c>
      <c r="AO82" s="10"/>
      <c r="BJ82" s="36"/>
    </row>
    <row r="83" spans="1:62" ht="15.75" customHeight="1" x14ac:dyDescent="0.25">
      <c r="A83" s="36"/>
      <c r="B83" s="37" t="s">
        <v>41</v>
      </c>
      <c r="C83" s="37" t="str">
        <f t="shared" si="10"/>
        <v xml:space="preserve"> LINGUA PORTUGUESA</v>
      </c>
      <c r="D83" s="37"/>
      <c r="E83" s="37"/>
      <c r="F83" s="37"/>
      <c r="G83" s="37"/>
      <c r="H83" s="37"/>
      <c r="I83" s="37"/>
      <c r="J83" s="37"/>
      <c r="K83" s="37"/>
      <c r="L83" s="37" t="str">
        <f t="shared" si="11"/>
        <v>90% das partículas devem estar entre  a  HRC.</v>
      </c>
      <c r="M83" s="130" t="str">
        <f t="shared" si="12"/>
        <v/>
      </c>
      <c r="N83" s="131"/>
      <c r="O83" s="130" t="str">
        <f t="shared" si="28"/>
        <v/>
      </c>
      <c r="P83" s="130" t="str">
        <f t="shared" si="13"/>
        <v/>
      </c>
      <c r="Q83" s="131"/>
      <c r="R83" s="42" t="str">
        <f t="shared" si="14"/>
        <v/>
      </c>
      <c r="S83" s="130" t="str">
        <f t="shared" si="15"/>
        <v/>
      </c>
      <c r="T83" s="131"/>
      <c r="U83" s="42" t="str">
        <f t="shared" si="16"/>
        <v/>
      </c>
      <c r="V83" s="130" t="str">
        <f t="shared" si="17"/>
        <v/>
      </c>
      <c r="W83" s="131"/>
      <c r="X83" s="42" t="str">
        <f t="shared" si="18"/>
        <v/>
      </c>
      <c r="Y83" s="130" t="str">
        <f t="shared" si="19"/>
        <v/>
      </c>
      <c r="Z83" s="131"/>
      <c r="AA83" s="42" t="str">
        <f t="shared" si="20"/>
        <v/>
      </c>
      <c r="AB83" s="130" t="str">
        <f t="shared" si="21"/>
        <v/>
      </c>
      <c r="AC83" s="131"/>
      <c r="AD83" s="42" t="str">
        <f t="shared" si="22"/>
        <v/>
      </c>
      <c r="AE83" s="130" t="str">
        <f t="shared" si="23"/>
        <v/>
      </c>
      <c r="AF83" s="39"/>
      <c r="AG83" s="42" t="str">
        <f t="shared" si="24"/>
        <v/>
      </c>
      <c r="AH83" s="37" t="str">
        <f t="shared" si="25"/>
        <v/>
      </c>
      <c r="AI83" s="37" t="str">
        <f t="shared" si="26"/>
        <v/>
      </c>
      <c r="AJ83" s="52"/>
      <c r="AK83" s="145" t="str">
        <f t="shared" si="29"/>
        <v xml:space="preserve"> LINGUA PORTUGUESA</v>
      </c>
      <c r="AL83" s="141"/>
      <c r="AM83" s="141" t="str">
        <f t="shared" si="27"/>
        <v>Sem Dados</v>
      </c>
      <c r="AN83" s="141" t="str">
        <f t="shared" si="30"/>
        <v xml:space="preserve"> Sem Dados</v>
      </c>
      <c r="AO83" s="10"/>
      <c r="BJ83" s="36"/>
    </row>
    <row r="84" spans="1:62" ht="15.75" customHeight="1" x14ac:dyDescent="0.25">
      <c r="A84" s="36"/>
      <c r="B84" s="37" t="s">
        <v>41</v>
      </c>
      <c r="C84" s="37" t="str">
        <f t="shared" si="10"/>
        <v xml:space="preserve"> LINGUA PORTUGUESA</v>
      </c>
      <c r="D84" s="37"/>
      <c r="E84" s="37"/>
      <c r="F84" s="37"/>
      <c r="G84" s="37"/>
      <c r="H84" s="37"/>
      <c r="I84" s="37"/>
      <c r="J84" s="37"/>
      <c r="K84" s="37"/>
      <c r="L84" s="37" t="str">
        <f t="shared" si="11"/>
        <v>90% das partículas devem estar entre  a  HRC.</v>
      </c>
      <c r="M84" s="130" t="str">
        <f t="shared" si="12"/>
        <v/>
      </c>
      <c r="N84" s="131"/>
      <c r="O84" s="130" t="str">
        <f t="shared" si="28"/>
        <v/>
      </c>
      <c r="P84" s="130" t="str">
        <f t="shared" si="13"/>
        <v/>
      </c>
      <c r="Q84" s="131"/>
      <c r="R84" s="42" t="str">
        <f t="shared" si="14"/>
        <v/>
      </c>
      <c r="S84" s="130" t="str">
        <f t="shared" si="15"/>
        <v/>
      </c>
      <c r="T84" s="131"/>
      <c r="U84" s="42" t="str">
        <f t="shared" si="16"/>
        <v/>
      </c>
      <c r="V84" s="130" t="str">
        <f t="shared" si="17"/>
        <v/>
      </c>
      <c r="W84" s="131"/>
      <c r="X84" s="42" t="str">
        <f t="shared" si="18"/>
        <v/>
      </c>
      <c r="Y84" s="130" t="str">
        <f t="shared" si="19"/>
        <v/>
      </c>
      <c r="Z84" s="131"/>
      <c r="AA84" s="42" t="str">
        <f t="shared" si="20"/>
        <v/>
      </c>
      <c r="AB84" s="130" t="str">
        <f t="shared" si="21"/>
        <v/>
      </c>
      <c r="AC84" s="131"/>
      <c r="AD84" s="42" t="str">
        <f t="shared" si="22"/>
        <v/>
      </c>
      <c r="AE84" s="130" t="str">
        <f t="shared" si="23"/>
        <v/>
      </c>
      <c r="AF84" s="39"/>
      <c r="AG84" s="42" t="str">
        <f t="shared" si="24"/>
        <v/>
      </c>
      <c r="AH84" s="37" t="str">
        <f t="shared" si="25"/>
        <v/>
      </c>
      <c r="AI84" s="37" t="str">
        <f t="shared" si="26"/>
        <v/>
      </c>
      <c r="AJ84" s="52"/>
      <c r="AK84" s="145" t="str">
        <f t="shared" si="29"/>
        <v xml:space="preserve"> LINGUA PORTUGUESA</v>
      </c>
      <c r="AL84" s="141"/>
      <c r="AM84" s="141" t="str">
        <f t="shared" si="27"/>
        <v>Sem Dados</v>
      </c>
      <c r="AN84" s="141" t="str">
        <f t="shared" si="30"/>
        <v xml:space="preserve"> Sem Dados</v>
      </c>
      <c r="AO84" s="10"/>
      <c r="BJ84" s="36"/>
    </row>
    <row r="85" spans="1:62" ht="15.75" customHeight="1" x14ac:dyDescent="0.25">
      <c r="A85" s="36"/>
      <c r="B85" s="37" t="s">
        <v>41</v>
      </c>
      <c r="C85" s="37" t="str">
        <f t="shared" si="10"/>
        <v xml:space="preserve"> LINGUA PORTUGUESA</v>
      </c>
      <c r="D85" s="37"/>
      <c r="E85" s="37"/>
      <c r="F85" s="37"/>
      <c r="G85" s="37"/>
      <c r="H85" s="37"/>
      <c r="I85" s="37"/>
      <c r="J85" s="37"/>
      <c r="K85" s="37"/>
      <c r="L85" s="37" t="str">
        <f t="shared" si="11"/>
        <v>90% das partículas devem estar entre  a  HRC.</v>
      </c>
      <c r="M85" s="130" t="str">
        <f t="shared" si="12"/>
        <v/>
      </c>
      <c r="N85" s="131"/>
      <c r="O85" s="130" t="str">
        <f t="shared" si="28"/>
        <v/>
      </c>
      <c r="P85" s="130" t="str">
        <f t="shared" si="13"/>
        <v/>
      </c>
      <c r="Q85" s="131"/>
      <c r="R85" s="42" t="str">
        <f t="shared" si="14"/>
        <v/>
      </c>
      <c r="S85" s="130" t="str">
        <f t="shared" si="15"/>
        <v/>
      </c>
      <c r="T85" s="131"/>
      <c r="U85" s="42" t="str">
        <f t="shared" si="16"/>
        <v/>
      </c>
      <c r="V85" s="130" t="str">
        <f t="shared" si="17"/>
        <v/>
      </c>
      <c r="W85" s="131"/>
      <c r="X85" s="42" t="str">
        <f t="shared" si="18"/>
        <v/>
      </c>
      <c r="Y85" s="130" t="str">
        <f t="shared" si="19"/>
        <v/>
      </c>
      <c r="Z85" s="131"/>
      <c r="AA85" s="42" t="str">
        <f t="shared" si="20"/>
        <v/>
      </c>
      <c r="AB85" s="130" t="str">
        <f t="shared" si="21"/>
        <v/>
      </c>
      <c r="AC85" s="131"/>
      <c r="AD85" s="42" t="str">
        <f t="shared" si="22"/>
        <v/>
      </c>
      <c r="AE85" s="130" t="str">
        <f t="shared" si="23"/>
        <v/>
      </c>
      <c r="AF85" s="39"/>
      <c r="AG85" s="42" t="str">
        <f t="shared" si="24"/>
        <v/>
      </c>
      <c r="AH85" s="37" t="str">
        <f t="shared" si="25"/>
        <v/>
      </c>
      <c r="AI85" s="37" t="str">
        <f t="shared" si="26"/>
        <v/>
      </c>
      <c r="AJ85" s="52"/>
      <c r="AK85" s="145" t="str">
        <f t="shared" si="29"/>
        <v xml:space="preserve"> LINGUA PORTUGUESA</v>
      </c>
      <c r="AL85" s="141"/>
      <c r="AM85" s="141" t="str">
        <f t="shared" si="27"/>
        <v>Sem Dados</v>
      </c>
      <c r="AN85" s="141" t="str">
        <f t="shared" si="30"/>
        <v xml:space="preserve"> Sem Dados</v>
      </c>
      <c r="AO85" s="10"/>
      <c r="BJ85" s="36"/>
    </row>
    <row r="86" spans="1:62" ht="15.75" x14ac:dyDescent="0.25">
      <c r="A86" s="36"/>
      <c r="B86" s="37" t="s">
        <v>41</v>
      </c>
      <c r="C86" s="37" t="str">
        <f t="shared" si="10"/>
        <v xml:space="preserve"> LINGUA PORTUGUESA</v>
      </c>
      <c r="D86" s="37"/>
      <c r="E86" s="37"/>
      <c r="F86" s="37"/>
      <c r="G86" s="37"/>
      <c r="H86" s="37"/>
      <c r="I86" s="37"/>
      <c r="J86" s="37"/>
      <c r="K86" s="37"/>
      <c r="L86" s="37" t="str">
        <f t="shared" si="11"/>
        <v>90% das partículas devem estar entre  a  HRC.</v>
      </c>
      <c r="M86" s="130" t="str">
        <f t="shared" si="12"/>
        <v/>
      </c>
      <c r="N86" s="131"/>
      <c r="O86" s="130" t="str">
        <f t="shared" si="28"/>
        <v/>
      </c>
      <c r="P86" s="130" t="str">
        <f t="shared" si="13"/>
        <v/>
      </c>
      <c r="Q86" s="131"/>
      <c r="R86" s="42" t="str">
        <f t="shared" si="14"/>
        <v/>
      </c>
      <c r="S86" s="130" t="str">
        <f t="shared" si="15"/>
        <v/>
      </c>
      <c r="T86" s="131"/>
      <c r="U86" s="42" t="str">
        <f t="shared" si="16"/>
        <v/>
      </c>
      <c r="V86" s="130" t="str">
        <f t="shared" si="17"/>
        <v/>
      </c>
      <c r="W86" s="131"/>
      <c r="X86" s="42" t="str">
        <f t="shared" si="18"/>
        <v/>
      </c>
      <c r="Y86" s="130" t="str">
        <f t="shared" si="19"/>
        <v/>
      </c>
      <c r="Z86" s="131"/>
      <c r="AA86" s="42" t="str">
        <f t="shared" si="20"/>
        <v/>
      </c>
      <c r="AB86" s="130" t="str">
        <f t="shared" si="21"/>
        <v/>
      </c>
      <c r="AC86" s="131"/>
      <c r="AD86" s="42" t="str">
        <f t="shared" si="22"/>
        <v/>
      </c>
      <c r="AE86" s="130" t="str">
        <f t="shared" si="23"/>
        <v/>
      </c>
      <c r="AF86" s="39"/>
      <c r="AG86" s="42" t="str">
        <f t="shared" si="24"/>
        <v/>
      </c>
      <c r="AH86" s="37" t="str">
        <f t="shared" si="25"/>
        <v/>
      </c>
      <c r="AI86" s="37" t="str">
        <f t="shared" si="26"/>
        <v/>
      </c>
      <c r="AJ86" s="52"/>
      <c r="AK86" s="145" t="str">
        <f t="shared" si="29"/>
        <v xml:space="preserve"> LINGUA PORTUGUESA</v>
      </c>
      <c r="AL86" s="141"/>
      <c r="AM86" s="141" t="str">
        <f t="shared" si="27"/>
        <v>Sem Dados</v>
      </c>
      <c r="AN86" s="141" t="str">
        <f t="shared" si="30"/>
        <v xml:space="preserve"> Sem Dados</v>
      </c>
      <c r="AO86" s="10"/>
      <c r="BJ86" s="36"/>
    </row>
    <row r="87" spans="1:62" ht="15.75" x14ac:dyDescent="0.25">
      <c r="A87" s="36"/>
      <c r="B87" s="37" t="s">
        <v>41</v>
      </c>
      <c r="C87" s="37" t="str">
        <f t="shared" si="10"/>
        <v xml:space="preserve"> LINGUA PORTUGUESA</v>
      </c>
      <c r="D87" s="37"/>
      <c r="E87" s="37"/>
      <c r="F87" s="37"/>
      <c r="G87" s="37"/>
      <c r="H87" s="37"/>
      <c r="I87" s="37"/>
      <c r="J87" s="37"/>
      <c r="K87" s="37"/>
      <c r="L87" s="37" t="str">
        <f t="shared" si="11"/>
        <v>90% das partículas devem estar entre  a  HRC.</v>
      </c>
      <c r="M87" s="130" t="str">
        <f t="shared" si="12"/>
        <v/>
      </c>
      <c r="N87" s="131"/>
      <c r="O87" s="130" t="str">
        <f t="shared" si="28"/>
        <v/>
      </c>
      <c r="P87" s="130" t="str">
        <f t="shared" si="13"/>
        <v/>
      </c>
      <c r="Q87" s="131"/>
      <c r="R87" s="42" t="str">
        <f t="shared" si="14"/>
        <v/>
      </c>
      <c r="S87" s="130" t="str">
        <f t="shared" si="15"/>
        <v/>
      </c>
      <c r="T87" s="131"/>
      <c r="U87" s="42" t="str">
        <f t="shared" si="16"/>
        <v/>
      </c>
      <c r="V87" s="130" t="str">
        <f t="shared" si="17"/>
        <v/>
      </c>
      <c r="W87" s="131"/>
      <c r="X87" s="42" t="str">
        <f t="shared" si="18"/>
        <v/>
      </c>
      <c r="Y87" s="130" t="str">
        <f t="shared" si="19"/>
        <v/>
      </c>
      <c r="Z87" s="131"/>
      <c r="AA87" s="42" t="str">
        <f t="shared" si="20"/>
        <v/>
      </c>
      <c r="AB87" s="130" t="str">
        <f t="shared" si="21"/>
        <v/>
      </c>
      <c r="AC87" s="131"/>
      <c r="AD87" s="42" t="str">
        <f t="shared" si="22"/>
        <v/>
      </c>
      <c r="AE87" s="130" t="str">
        <f t="shared" si="23"/>
        <v/>
      </c>
      <c r="AF87" s="39"/>
      <c r="AG87" s="42" t="str">
        <f t="shared" si="24"/>
        <v/>
      </c>
      <c r="AH87" s="37" t="str">
        <f t="shared" si="25"/>
        <v/>
      </c>
      <c r="AI87" s="37" t="str">
        <f t="shared" si="26"/>
        <v/>
      </c>
      <c r="AJ87" s="52"/>
      <c r="AK87" s="145" t="str">
        <f t="shared" si="29"/>
        <v xml:space="preserve"> LINGUA PORTUGUESA</v>
      </c>
      <c r="AL87" s="141"/>
      <c r="AM87" s="141" t="str">
        <f t="shared" si="27"/>
        <v>Sem Dados</v>
      </c>
      <c r="AN87" s="141" t="str">
        <f t="shared" si="30"/>
        <v xml:space="preserve"> Sem Dados</v>
      </c>
      <c r="AO87" s="10"/>
      <c r="BJ87" s="36"/>
    </row>
    <row r="88" spans="1:62" ht="15.75" x14ac:dyDescent="0.25">
      <c r="A88" s="36"/>
      <c r="B88" s="37" t="s">
        <v>41</v>
      </c>
      <c r="C88" s="37" t="str">
        <f t="shared" si="10"/>
        <v xml:space="preserve"> LINGUA PORTUGUESA</v>
      </c>
      <c r="D88" s="37"/>
      <c r="E88" s="37"/>
      <c r="F88" s="37"/>
      <c r="G88" s="37"/>
      <c r="H88" s="37"/>
      <c r="I88" s="37"/>
      <c r="J88" s="37"/>
      <c r="K88" s="37"/>
      <c r="L88" s="37" t="str">
        <f t="shared" si="11"/>
        <v>90% das partículas devem estar entre  a  HRC.</v>
      </c>
      <c r="M88" s="130" t="str">
        <f t="shared" si="12"/>
        <v/>
      </c>
      <c r="N88" s="45"/>
      <c r="O88" s="130" t="str">
        <f t="shared" si="28"/>
        <v/>
      </c>
      <c r="P88" s="130" t="str">
        <f t="shared" si="13"/>
        <v/>
      </c>
      <c r="Q88" s="45"/>
      <c r="R88" s="42" t="str">
        <f t="shared" si="14"/>
        <v/>
      </c>
      <c r="S88" s="130" t="str">
        <f t="shared" si="15"/>
        <v/>
      </c>
      <c r="T88" s="45"/>
      <c r="U88" s="42" t="str">
        <f t="shared" si="16"/>
        <v/>
      </c>
      <c r="V88" s="130" t="str">
        <f t="shared" si="17"/>
        <v/>
      </c>
      <c r="W88" s="45"/>
      <c r="X88" s="42" t="str">
        <f t="shared" si="18"/>
        <v/>
      </c>
      <c r="Y88" s="130" t="str">
        <f t="shared" si="19"/>
        <v/>
      </c>
      <c r="Z88" s="45"/>
      <c r="AA88" s="42" t="str">
        <f t="shared" si="20"/>
        <v/>
      </c>
      <c r="AB88" s="130" t="str">
        <f t="shared" si="21"/>
        <v/>
      </c>
      <c r="AC88" s="44"/>
      <c r="AD88" s="42" t="str">
        <f t="shared" si="22"/>
        <v/>
      </c>
      <c r="AE88" s="130" t="str">
        <f t="shared" si="23"/>
        <v/>
      </c>
      <c r="AF88" s="44"/>
      <c r="AG88" s="42" t="str">
        <f t="shared" si="24"/>
        <v/>
      </c>
      <c r="AH88" s="37" t="str">
        <f t="shared" si="25"/>
        <v/>
      </c>
      <c r="AI88" s="37" t="str">
        <f t="shared" si="26"/>
        <v/>
      </c>
      <c r="AJ88" s="52"/>
      <c r="AK88" s="145" t="str">
        <f t="shared" si="29"/>
        <v xml:space="preserve"> LINGUA PORTUGUESA</v>
      </c>
      <c r="AL88" s="141"/>
      <c r="AM88" s="141" t="str">
        <f t="shared" si="27"/>
        <v>Sem Dados</v>
      </c>
      <c r="AN88" s="141" t="str">
        <f t="shared" si="30"/>
        <v xml:space="preserve"> Sem Dados</v>
      </c>
      <c r="AO88" s="10"/>
      <c r="BJ88" s="36"/>
    </row>
    <row r="89" spans="1:62" ht="15.75" x14ac:dyDescent="0.25">
      <c r="A89" s="36"/>
      <c r="B89" s="37" t="s">
        <v>41</v>
      </c>
      <c r="C89" s="37" t="str">
        <f t="shared" si="10"/>
        <v xml:space="preserve"> LINGUA PORTUGUESA</v>
      </c>
      <c r="D89" s="37"/>
      <c r="E89" s="37"/>
      <c r="F89" s="37"/>
      <c r="G89" s="37"/>
      <c r="H89" s="37"/>
      <c r="I89" s="37"/>
      <c r="J89" s="37"/>
      <c r="K89" s="37"/>
      <c r="L89" s="37" t="str">
        <f t="shared" si="11"/>
        <v>90% das partículas devem estar entre  a  HRC.</v>
      </c>
      <c r="M89" s="130" t="str">
        <f t="shared" si="12"/>
        <v/>
      </c>
      <c r="N89" s="124"/>
      <c r="O89" s="130" t="str">
        <f t="shared" si="28"/>
        <v/>
      </c>
      <c r="P89" s="130" t="str">
        <f t="shared" si="13"/>
        <v/>
      </c>
      <c r="Q89" s="124"/>
      <c r="R89" s="42" t="str">
        <f t="shared" si="14"/>
        <v/>
      </c>
      <c r="S89" s="130" t="str">
        <f t="shared" si="15"/>
        <v/>
      </c>
      <c r="T89" s="124"/>
      <c r="U89" s="42" t="str">
        <f t="shared" si="16"/>
        <v/>
      </c>
      <c r="V89" s="130" t="str">
        <f t="shared" si="17"/>
        <v/>
      </c>
      <c r="W89" s="124"/>
      <c r="X89" s="42" t="str">
        <f t="shared" si="18"/>
        <v/>
      </c>
      <c r="Y89" s="130" t="str">
        <f t="shared" si="19"/>
        <v/>
      </c>
      <c r="Z89" s="44"/>
      <c r="AA89" s="42" t="str">
        <f t="shared" si="20"/>
        <v/>
      </c>
      <c r="AB89" s="130" t="str">
        <f t="shared" si="21"/>
        <v/>
      </c>
      <c r="AC89" s="44"/>
      <c r="AD89" s="42" t="str">
        <f t="shared" si="22"/>
        <v/>
      </c>
      <c r="AE89" s="130" t="str">
        <f t="shared" si="23"/>
        <v/>
      </c>
      <c r="AF89" s="44"/>
      <c r="AG89" s="42" t="str">
        <f t="shared" si="24"/>
        <v/>
      </c>
      <c r="AH89" s="37" t="str">
        <f t="shared" si="25"/>
        <v/>
      </c>
      <c r="AI89" s="37" t="str">
        <f t="shared" si="26"/>
        <v/>
      </c>
      <c r="AJ89" s="52"/>
      <c r="AK89" s="145" t="str">
        <f t="shared" si="29"/>
        <v xml:space="preserve"> LINGUA PORTUGUESA</v>
      </c>
      <c r="AL89" s="141"/>
      <c r="AM89" s="141" t="str">
        <f t="shared" si="27"/>
        <v>Sem Dados</v>
      </c>
      <c r="AN89" s="141" t="str">
        <f t="shared" si="30"/>
        <v xml:space="preserve"> Sem Dados</v>
      </c>
      <c r="AO89" s="10"/>
      <c r="BJ89" s="36"/>
    </row>
    <row r="90" spans="1:62" ht="15.75" x14ac:dyDescent="0.25">
      <c r="A90" s="36"/>
      <c r="B90" s="37" t="s">
        <v>41</v>
      </c>
      <c r="C90" s="37" t="str">
        <f t="shared" si="10"/>
        <v xml:space="preserve"> LINGUA PORTUGUESA</v>
      </c>
      <c r="D90" s="37"/>
      <c r="E90" s="37"/>
      <c r="F90" s="37"/>
      <c r="G90" s="37"/>
      <c r="H90" s="37"/>
      <c r="I90" s="37"/>
      <c r="J90" s="37"/>
      <c r="K90" s="37"/>
      <c r="L90" s="37" t="str">
        <f t="shared" si="11"/>
        <v>90% das partículas devem estar entre  a  HRC.</v>
      </c>
      <c r="M90" s="130" t="str">
        <f t="shared" si="12"/>
        <v/>
      </c>
      <c r="N90" s="124"/>
      <c r="O90" s="130" t="str">
        <f t="shared" si="28"/>
        <v/>
      </c>
      <c r="P90" s="130" t="str">
        <f t="shared" si="13"/>
        <v/>
      </c>
      <c r="Q90" s="124"/>
      <c r="R90" s="42" t="str">
        <f t="shared" si="14"/>
        <v/>
      </c>
      <c r="S90" s="130" t="str">
        <f t="shared" si="15"/>
        <v/>
      </c>
      <c r="T90" s="124"/>
      <c r="U90" s="42" t="str">
        <f t="shared" si="16"/>
        <v/>
      </c>
      <c r="V90" s="130" t="str">
        <f t="shared" si="17"/>
        <v/>
      </c>
      <c r="W90" s="124"/>
      <c r="X90" s="42" t="str">
        <f t="shared" si="18"/>
        <v/>
      </c>
      <c r="Y90" s="130" t="str">
        <f t="shared" si="19"/>
        <v/>
      </c>
      <c r="Z90" s="44"/>
      <c r="AA90" s="42" t="str">
        <f t="shared" si="20"/>
        <v/>
      </c>
      <c r="AB90" s="130" t="str">
        <f t="shared" si="21"/>
        <v/>
      </c>
      <c r="AC90" s="44"/>
      <c r="AD90" s="42" t="str">
        <f t="shared" si="22"/>
        <v/>
      </c>
      <c r="AE90" s="130" t="str">
        <f t="shared" si="23"/>
        <v/>
      </c>
      <c r="AF90" s="44"/>
      <c r="AG90" s="42" t="str">
        <f t="shared" si="24"/>
        <v/>
      </c>
      <c r="AH90" s="37" t="str">
        <f t="shared" si="25"/>
        <v/>
      </c>
      <c r="AI90" s="37" t="str">
        <f t="shared" si="26"/>
        <v/>
      </c>
      <c r="AJ90" s="52"/>
      <c r="AK90" s="145" t="str">
        <f t="shared" si="29"/>
        <v xml:space="preserve"> LINGUA PORTUGUESA</v>
      </c>
      <c r="AL90" s="141"/>
      <c r="AM90" s="141" t="str">
        <f t="shared" si="27"/>
        <v>Sem Dados</v>
      </c>
      <c r="AN90" s="141" t="str">
        <f t="shared" si="30"/>
        <v xml:space="preserve"> Sem Dados</v>
      </c>
      <c r="AO90" s="10"/>
      <c r="BJ90" s="36"/>
    </row>
    <row r="91" spans="1:62" ht="15.75" x14ac:dyDescent="0.25">
      <c r="A91" s="36"/>
      <c r="B91" s="37" t="s">
        <v>41</v>
      </c>
      <c r="C91" s="37" t="str">
        <f t="shared" si="10"/>
        <v xml:space="preserve"> LINGUA PORTUGUESA</v>
      </c>
      <c r="D91" s="37"/>
      <c r="E91" s="37"/>
      <c r="F91" s="37"/>
      <c r="G91" s="37"/>
      <c r="H91" s="37"/>
      <c r="I91" s="37"/>
      <c r="J91" s="37"/>
      <c r="K91" s="37"/>
      <c r="L91" s="37" t="str">
        <f t="shared" si="11"/>
        <v>90% das partículas devem estar entre  a  HRC.</v>
      </c>
      <c r="M91" s="130" t="str">
        <f t="shared" si="12"/>
        <v/>
      </c>
      <c r="N91" s="124"/>
      <c r="O91" s="130" t="str">
        <f t="shared" si="28"/>
        <v/>
      </c>
      <c r="P91" s="130" t="str">
        <f t="shared" si="13"/>
        <v/>
      </c>
      <c r="Q91" s="124"/>
      <c r="R91" s="42" t="str">
        <f t="shared" si="14"/>
        <v/>
      </c>
      <c r="S91" s="130" t="str">
        <f t="shared" si="15"/>
        <v/>
      </c>
      <c r="T91" s="124"/>
      <c r="U91" s="42" t="str">
        <f t="shared" si="16"/>
        <v/>
      </c>
      <c r="V91" s="130" t="str">
        <f t="shared" si="17"/>
        <v/>
      </c>
      <c r="W91" s="46"/>
      <c r="X91" s="42" t="str">
        <f t="shared" si="18"/>
        <v/>
      </c>
      <c r="Y91" s="130" t="str">
        <f t="shared" si="19"/>
        <v/>
      </c>
      <c r="Z91" s="44"/>
      <c r="AA91" s="42" t="str">
        <f t="shared" si="20"/>
        <v/>
      </c>
      <c r="AB91" s="130" t="str">
        <f t="shared" si="21"/>
        <v/>
      </c>
      <c r="AC91" s="44"/>
      <c r="AD91" s="42" t="str">
        <f t="shared" si="22"/>
        <v/>
      </c>
      <c r="AE91" s="130" t="str">
        <f t="shared" si="23"/>
        <v/>
      </c>
      <c r="AF91" s="44"/>
      <c r="AG91" s="42" t="str">
        <f t="shared" si="24"/>
        <v/>
      </c>
      <c r="AH91" s="37" t="str">
        <f t="shared" si="25"/>
        <v/>
      </c>
      <c r="AI91" s="37" t="str">
        <f t="shared" si="26"/>
        <v/>
      </c>
      <c r="AJ91" s="52"/>
      <c r="AK91" s="145" t="str">
        <f t="shared" si="29"/>
        <v xml:space="preserve"> LINGUA PORTUGUESA</v>
      </c>
      <c r="AL91" s="141"/>
      <c r="AM91" s="141" t="str">
        <f t="shared" si="27"/>
        <v>Sem Dados</v>
      </c>
      <c r="AN91" s="141" t="str">
        <f t="shared" si="30"/>
        <v xml:space="preserve"> Sem Dados</v>
      </c>
      <c r="AO91" s="10"/>
      <c r="BJ91" s="36"/>
    </row>
    <row r="92" spans="1:62" ht="15.75" x14ac:dyDescent="0.25">
      <c r="A92" s="36"/>
      <c r="B92" s="37" t="s">
        <v>41</v>
      </c>
      <c r="C92" s="37" t="str">
        <f t="shared" si="10"/>
        <v xml:space="preserve"> LINGUA PORTUGUESA</v>
      </c>
      <c r="D92" s="37"/>
      <c r="E92" s="37"/>
      <c r="F92" s="37"/>
      <c r="G92" s="37"/>
      <c r="H92" s="37"/>
      <c r="I92" s="37"/>
      <c r="J92" s="37"/>
      <c r="K92" s="37"/>
      <c r="L92" s="37" t="str">
        <f t="shared" si="11"/>
        <v>90% das partículas devem estar entre  a  HRC.</v>
      </c>
      <c r="M92" s="130" t="str">
        <f t="shared" si="12"/>
        <v/>
      </c>
      <c r="N92" s="124"/>
      <c r="O92" s="130" t="str">
        <f t="shared" si="28"/>
        <v/>
      </c>
      <c r="P92" s="130" t="str">
        <f t="shared" si="13"/>
        <v/>
      </c>
      <c r="Q92" s="124"/>
      <c r="R92" s="42" t="str">
        <f t="shared" si="14"/>
        <v/>
      </c>
      <c r="S92" s="130" t="str">
        <f t="shared" si="15"/>
        <v/>
      </c>
      <c r="T92" s="124"/>
      <c r="U92" s="42" t="str">
        <f t="shared" si="16"/>
        <v/>
      </c>
      <c r="V92" s="130" t="str">
        <f t="shared" si="17"/>
        <v/>
      </c>
      <c r="W92" s="124"/>
      <c r="X92" s="42" t="str">
        <f t="shared" si="18"/>
        <v/>
      </c>
      <c r="Y92" s="130" t="str">
        <f t="shared" si="19"/>
        <v/>
      </c>
      <c r="Z92" s="44"/>
      <c r="AA92" s="42" t="str">
        <f t="shared" si="20"/>
        <v/>
      </c>
      <c r="AB92" s="130" t="str">
        <f t="shared" si="21"/>
        <v/>
      </c>
      <c r="AC92" s="44"/>
      <c r="AD92" s="42" t="str">
        <f t="shared" si="22"/>
        <v/>
      </c>
      <c r="AE92" s="130" t="str">
        <f t="shared" si="23"/>
        <v/>
      </c>
      <c r="AF92" s="44"/>
      <c r="AG92" s="42" t="str">
        <f t="shared" si="24"/>
        <v/>
      </c>
      <c r="AH92" s="37" t="str">
        <f t="shared" si="25"/>
        <v/>
      </c>
      <c r="AI92" s="37" t="str">
        <f t="shared" si="26"/>
        <v/>
      </c>
      <c r="AJ92" s="52"/>
      <c r="AK92" s="145" t="str">
        <f t="shared" si="29"/>
        <v xml:space="preserve"> LINGUA PORTUGUESA</v>
      </c>
      <c r="AL92" s="141"/>
      <c r="AM92" s="141" t="str">
        <f t="shared" si="27"/>
        <v>Sem Dados</v>
      </c>
      <c r="AN92" s="141" t="str">
        <f t="shared" si="30"/>
        <v xml:space="preserve"> Sem Dados</v>
      </c>
      <c r="AO92" s="10"/>
      <c r="BJ92" s="36"/>
    </row>
    <row r="93" spans="1:62" ht="15.75" x14ac:dyDescent="0.25">
      <c r="A93" s="36"/>
      <c r="B93" s="37" t="s">
        <v>41</v>
      </c>
      <c r="C93" s="37" t="str">
        <f t="shared" si="10"/>
        <v xml:space="preserve"> LINGUA PORTUGUESA</v>
      </c>
      <c r="D93" s="37"/>
      <c r="E93" s="37"/>
      <c r="F93" s="37"/>
      <c r="G93" s="37"/>
      <c r="H93" s="37"/>
      <c r="I93" s="37"/>
      <c r="J93" s="37"/>
      <c r="K93" s="37"/>
      <c r="L93" s="37" t="str">
        <f t="shared" si="11"/>
        <v>90% das partículas devem estar entre  a  HRC.</v>
      </c>
      <c r="M93" s="130" t="str">
        <f t="shared" si="12"/>
        <v/>
      </c>
      <c r="N93" s="124"/>
      <c r="O93" s="130" t="str">
        <f t="shared" si="28"/>
        <v/>
      </c>
      <c r="P93" s="130" t="str">
        <f t="shared" si="13"/>
        <v/>
      </c>
      <c r="Q93" s="124"/>
      <c r="R93" s="42" t="str">
        <f t="shared" si="14"/>
        <v/>
      </c>
      <c r="S93" s="130" t="str">
        <f t="shared" si="15"/>
        <v/>
      </c>
      <c r="T93" s="124"/>
      <c r="U93" s="42" t="str">
        <f t="shared" si="16"/>
        <v/>
      </c>
      <c r="V93" s="130" t="str">
        <f t="shared" si="17"/>
        <v/>
      </c>
      <c r="W93" s="124"/>
      <c r="X93" s="42" t="str">
        <f t="shared" si="18"/>
        <v/>
      </c>
      <c r="Y93" s="130" t="str">
        <f t="shared" si="19"/>
        <v/>
      </c>
      <c r="Z93" s="44"/>
      <c r="AA93" s="42" t="str">
        <f t="shared" si="20"/>
        <v/>
      </c>
      <c r="AB93" s="130" t="str">
        <f t="shared" si="21"/>
        <v/>
      </c>
      <c r="AC93" s="44"/>
      <c r="AD93" s="42" t="str">
        <f t="shared" si="22"/>
        <v/>
      </c>
      <c r="AE93" s="130" t="str">
        <f t="shared" si="23"/>
        <v/>
      </c>
      <c r="AF93" s="44"/>
      <c r="AG93" s="42" t="str">
        <f t="shared" si="24"/>
        <v/>
      </c>
      <c r="AH93" s="37" t="str">
        <f t="shared" si="25"/>
        <v/>
      </c>
      <c r="AI93" s="37" t="str">
        <f t="shared" si="26"/>
        <v/>
      </c>
      <c r="AJ93" s="52"/>
      <c r="AK93" s="145" t="str">
        <f t="shared" si="29"/>
        <v xml:space="preserve"> LINGUA PORTUGUESA</v>
      </c>
      <c r="AL93" s="141"/>
      <c r="AM93" s="141" t="str">
        <f t="shared" si="27"/>
        <v>Sem Dados</v>
      </c>
      <c r="AN93" s="141" t="str">
        <f t="shared" si="30"/>
        <v xml:space="preserve"> Sem Dados</v>
      </c>
      <c r="AO93" s="10"/>
      <c r="BJ93" s="36"/>
    </row>
    <row r="94" spans="1:62" ht="15.75" x14ac:dyDescent="0.25">
      <c r="A94" s="36"/>
      <c r="B94" s="37" t="s">
        <v>41</v>
      </c>
      <c r="C94" s="37" t="str">
        <f t="shared" si="10"/>
        <v xml:space="preserve"> LINGUA PORTUGUESA</v>
      </c>
      <c r="D94" s="37"/>
      <c r="E94" s="37"/>
      <c r="F94" s="37"/>
      <c r="G94" s="37"/>
      <c r="H94" s="37"/>
      <c r="I94" s="37"/>
      <c r="J94" s="37"/>
      <c r="K94" s="37"/>
      <c r="L94" s="37" t="str">
        <f t="shared" si="11"/>
        <v>90% das partículas devem estar entre  a  HRC.</v>
      </c>
      <c r="M94" s="130" t="str">
        <f t="shared" si="12"/>
        <v/>
      </c>
      <c r="N94" s="124"/>
      <c r="O94" s="130" t="str">
        <f t="shared" si="28"/>
        <v/>
      </c>
      <c r="P94" s="130" t="str">
        <f t="shared" si="13"/>
        <v/>
      </c>
      <c r="Q94" s="124"/>
      <c r="R94" s="42" t="str">
        <f t="shared" si="14"/>
        <v/>
      </c>
      <c r="S94" s="130" t="str">
        <f t="shared" si="15"/>
        <v/>
      </c>
      <c r="T94" s="124"/>
      <c r="U94" s="42" t="str">
        <f t="shared" si="16"/>
        <v/>
      </c>
      <c r="V94" s="130" t="str">
        <f t="shared" si="17"/>
        <v/>
      </c>
      <c r="W94" s="124"/>
      <c r="X94" s="42" t="str">
        <f t="shared" si="18"/>
        <v/>
      </c>
      <c r="Y94" s="130" t="str">
        <f t="shared" si="19"/>
        <v/>
      </c>
      <c r="Z94" s="44"/>
      <c r="AA94" s="42" t="str">
        <f t="shared" si="20"/>
        <v/>
      </c>
      <c r="AB94" s="130" t="str">
        <f t="shared" si="21"/>
        <v/>
      </c>
      <c r="AC94" s="44"/>
      <c r="AD94" s="42" t="str">
        <f t="shared" si="22"/>
        <v/>
      </c>
      <c r="AE94" s="130" t="str">
        <f t="shared" si="23"/>
        <v/>
      </c>
      <c r="AF94" s="44"/>
      <c r="AG94" s="42" t="str">
        <f t="shared" si="24"/>
        <v/>
      </c>
      <c r="AH94" s="37" t="str">
        <f t="shared" si="25"/>
        <v/>
      </c>
      <c r="AI94" s="37" t="str">
        <f t="shared" si="26"/>
        <v/>
      </c>
      <c r="AJ94" s="52"/>
      <c r="AK94" s="145" t="str">
        <f t="shared" si="29"/>
        <v xml:space="preserve"> LINGUA PORTUGUESA</v>
      </c>
      <c r="AL94" s="141"/>
      <c r="AM94" s="141" t="str">
        <f t="shared" si="27"/>
        <v>Sem Dados</v>
      </c>
      <c r="AN94" s="141" t="str">
        <f t="shared" si="30"/>
        <v xml:space="preserve"> Sem Dados</v>
      </c>
      <c r="AO94" s="10"/>
      <c r="BJ94" s="36"/>
    </row>
    <row r="95" spans="1:62" ht="16.5" thickBot="1" x14ac:dyDescent="0.3">
      <c r="A95" s="36"/>
      <c r="B95" s="37" t="s">
        <v>41</v>
      </c>
      <c r="C95" s="37" t="str">
        <f t="shared" si="10"/>
        <v xml:space="preserve"> LINGUA PORTUGUESA</v>
      </c>
      <c r="D95" s="37"/>
      <c r="E95" s="37"/>
      <c r="F95" s="37"/>
      <c r="G95" s="37"/>
      <c r="H95" s="37"/>
      <c r="I95" s="37"/>
      <c r="J95" s="37"/>
      <c r="K95" s="37"/>
      <c r="L95" s="37" t="str">
        <f t="shared" si="11"/>
        <v>90% das partículas devem estar entre  a  HRC.</v>
      </c>
      <c r="M95" s="130" t="str">
        <f t="shared" si="12"/>
        <v/>
      </c>
      <c r="N95" s="124"/>
      <c r="O95" s="130" t="str">
        <f t="shared" si="28"/>
        <v/>
      </c>
      <c r="P95" s="130" t="str">
        <f t="shared" si="13"/>
        <v/>
      </c>
      <c r="Q95" s="124"/>
      <c r="R95" s="42" t="str">
        <f t="shared" si="14"/>
        <v/>
      </c>
      <c r="S95" s="130" t="str">
        <f t="shared" si="15"/>
        <v/>
      </c>
      <c r="T95" s="124"/>
      <c r="U95" s="42" t="str">
        <f t="shared" si="16"/>
        <v/>
      </c>
      <c r="V95" s="130" t="str">
        <f t="shared" si="17"/>
        <v/>
      </c>
      <c r="W95" s="124"/>
      <c r="X95" s="42" t="str">
        <f t="shared" si="18"/>
        <v/>
      </c>
      <c r="Y95" s="130" t="str">
        <f t="shared" si="19"/>
        <v/>
      </c>
      <c r="Z95" s="39"/>
      <c r="AA95" s="42" t="str">
        <f t="shared" si="20"/>
        <v/>
      </c>
      <c r="AB95" s="130" t="str">
        <f t="shared" si="21"/>
        <v/>
      </c>
      <c r="AC95" s="39"/>
      <c r="AD95" s="42" t="str">
        <f t="shared" si="22"/>
        <v/>
      </c>
      <c r="AE95" s="130" t="str">
        <f t="shared" si="23"/>
        <v/>
      </c>
      <c r="AF95" s="44"/>
      <c r="AG95" s="42" t="str">
        <f t="shared" si="24"/>
        <v/>
      </c>
      <c r="AH95" s="37" t="str">
        <f t="shared" si="25"/>
        <v/>
      </c>
      <c r="AI95" s="37" t="str">
        <f t="shared" si="26"/>
        <v/>
      </c>
      <c r="AJ95" s="52"/>
      <c r="AK95" s="145" t="str">
        <f t="shared" si="29"/>
        <v xml:space="preserve"> LINGUA PORTUGUESA</v>
      </c>
      <c r="AL95" s="141"/>
      <c r="AM95" s="141" t="str">
        <f t="shared" si="27"/>
        <v>Sem Dados</v>
      </c>
      <c r="AN95" s="141" t="str">
        <f t="shared" si="30"/>
        <v xml:space="preserve"> Sem Dados</v>
      </c>
      <c r="AO95" s="10"/>
      <c r="BJ95" s="36"/>
    </row>
    <row r="96" spans="1:62" ht="19.5" x14ac:dyDescent="0.25">
      <c r="A96" s="80" t="s">
        <v>140</v>
      </c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2"/>
      <c r="AF96" s="82"/>
      <c r="AG96" s="82"/>
      <c r="AH96" s="83"/>
      <c r="AI96" s="84"/>
      <c r="AJ96" s="85"/>
      <c r="AK96" s="138"/>
      <c r="AL96" s="245" t="s">
        <v>287</v>
      </c>
      <c r="AM96" s="245"/>
      <c r="AN96" s="245"/>
      <c r="AO96" s="10"/>
      <c r="BJ96" s="36"/>
    </row>
    <row r="97" spans="1:62" ht="19.5" x14ac:dyDescent="0.25">
      <c r="A97" s="86"/>
      <c r="B97" s="87"/>
      <c r="C97" s="87"/>
      <c r="D97" s="87"/>
      <c r="E97" s="87"/>
      <c r="F97" s="87"/>
      <c r="G97" s="87"/>
      <c r="H97" s="87"/>
      <c r="I97" s="87"/>
      <c r="J97" s="87"/>
      <c r="K97" s="87"/>
      <c r="L97" s="88"/>
      <c r="M97" s="88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8"/>
      <c r="AI97" s="88"/>
      <c r="AJ97" s="90"/>
      <c r="AK97" s="88"/>
      <c r="AL97" s="246"/>
      <c r="AM97" s="246"/>
      <c r="AN97" s="246"/>
      <c r="AO97" s="10"/>
      <c r="BJ97" s="36"/>
    </row>
    <row r="98" spans="1:62" ht="19.5" x14ac:dyDescent="0.25">
      <c r="A98" s="86"/>
      <c r="B98" s="87"/>
      <c r="C98" s="87"/>
      <c r="D98" s="87"/>
      <c r="E98" s="87"/>
      <c r="F98" s="87"/>
      <c r="G98" s="87"/>
      <c r="H98" s="87"/>
      <c r="I98" s="87"/>
      <c r="J98" s="87"/>
      <c r="K98" s="87"/>
      <c r="L98" s="88"/>
      <c r="M98" s="88"/>
      <c r="N98" s="89"/>
      <c r="O98" s="89"/>
      <c r="P98" s="89"/>
      <c r="Q98" s="89"/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89"/>
      <c r="AC98" s="89"/>
      <c r="AD98" s="89"/>
      <c r="AE98" s="89"/>
      <c r="AF98" s="89"/>
      <c r="AG98" s="89"/>
      <c r="AH98" s="88"/>
      <c r="AI98" s="88"/>
      <c r="AJ98" s="91"/>
      <c r="AK98" s="88"/>
      <c r="AL98" s="246"/>
      <c r="AM98" s="246"/>
      <c r="AN98" s="246"/>
      <c r="AO98" s="10"/>
      <c r="BJ98" s="36"/>
    </row>
    <row r="99" spans="1:62" ht="19.5" x14ac:dyDescent="0.25">
      <c r="A99" s="92" t="s">
        <v>25</v>
      </c>
      <c r="B99" s="87" t="s">
        <v>87</v>
      </c>
      <c r="C99" s="87" t="s">
        <v>88</v>
      </c>
      <c r="D99" s="87" t="s">
        <v>95</v>
      </c>
      <c r="E99" s="87" t="s">
        <v>95</v>
      </c>
      <c r="F99" s="87" t="s">
        <v>95</v>
      </c>
      <c r="G99" s="87" t="s">
        <v>95</v>
      </c>
      <c r="H99" s="87" t="s">
        <v>95</v>
      </c>
      <c r="I99" s="87" t="s">
        <v>95</v>
      </c>
      <c r="J99" s="87" t="s">
        <v>95</v>
      </c>
      <c r="K99" s="87"/>
      <c r="L99" s="87" t="s">
        <v>89</v>
      </c>
      <c r="M99" s="87"/>
      <c r="N99" s="93" t="s">
        <v>90</v>
      </c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  <c r="AA99" s="93"/>
      <c r="AB99" s="93"/>
      <c r="AC99" s="93"/>
      <c r="AD99" s="93"/>
      <c r="AE99" s="93"/>
      <c r="AF99" s="93"/>
      <c r="AG99" s="93"/>
      <c r="AH99" s="87" t="s">
        <v>145</v>
      </c>
      <c r="AI99" s="87" t="s">
        <v>147</v>
      </c>
      <c r="AJ99" s="94" t="s">
        <v>136</v>
      </c>
      <c r="AK99" s="87"/>
      <c r="AL99" s="246"/>
      <c r="AM99" s="246"/>
      <c r="AN99" s="246"/>
      <c r="AO99" s="10"/>
      <c r="BJ99" s="36"/>
    </row>
    <row r="100" spans="1:62" ht="19.5" x14ac:dyDescent="0.25">
      <c r="A100" s="86"/>
      <c r="B100" s="87"/>
      <c r="C100" s="87"/>
      <c r="D100" s="87"/>
      <c r="E100" s="87"/>
      <c r="F100" s="87"/>
      <c r="G100" s="87"/>
      <c r="H100" s="87"/>
      <c r="I100" s="87"/>
      <c r="J100" s="87"/>
      <c r="K100" s="87"/>
      <c r="L100" s="88"/>
      <c r="M100" s="88"/>
      <c r="N100" s="89"/>
      <c r="O100" s="89"/>
      <c r="P100" s="89"/>
      <c r="Q100" s="89"/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89"/>
      <c r="AC100" s="89"/>
      <c r="AD100" s="89"/>
      <c r="AE100" s="89"/>
      <c r="AF100" s="89"/>
      <c r="AG100" s="89"/>
      <c r="AH100" s="88"/>
      <c r="AI100" s="88"/>
      <c r="AJ100" s="91"/>
      <c r="AK100" s="88"/>
      <c r="AL100" s="246"/>
      <c r="AM100" s="246"/>
      <c r="AN100" s="246"/>
      <c r="AO100" s="10"/>
      <c r="BJ100" s="36"/>
    </row>
    <row r="101" spans="1:62" ht="19.5" x14ac:dyDescent="0.3">
      <c r="A101" s="86"/>
      <c r="B101" s="87"/>
      <c r="C101" s="87"/>
      <c r="D101" s="87"/>
      <c r="E101" s="87"/>
      <c r="F101" s="87"/>
      <c r="G101" s="87"/>
      <c r="H101" s="87"/>
      <c r="I101" s="87"/>
      <c r="J101" s="87"/>
      <c r="K101" s="87"/>
      <c r="L101" s="88"/>
      <c r="M101" s="88"/>
      <c r="N101" s="95"/>
      <c r="O101" s="96"/>
      <c r="P101" s="96"/>
      <c r="Q101" s="95"/>
      <c r="R101" s="95"/>
      <c r="S101" s="95"/>
      <c r="T101" s="95"/>
      <c r="U101" s="95"/>
      <c r="V101" s="95"/>
      <c r="W101" s="96"/>
      <c r="X101" s="96"/>
      <c r="Y101" s="96"/>
      <c r="Z101" s="96"/>
      <c r="AA101" s="96"/>
      <c r="AB101" s="96"/>
      <c r="AC101" s="95"/>
      <c r="AD101" s="95"/>
      <c r="AE101" s="95"/>
      <c r="AF101" s="95"/>
      <c r="AG101" s="95"/>
      <c r="AH101" s="88"/>
      <c r="AI101" s="88"/>
      <c r="AJ101" s="97"/>
      <c r="AK101" s="88"/>
      <c r="AL101" s="246"/>
      <c r="AM101" s="246"/>
      <c r="AN101" s="246"/>
      <c r="AO101" s="10"/>
      <c r="BJ101" s="36"/>
    </row>
    <row r="102" spans="1:62" ht="19.5" x14ac:dyDescent="0.25">
      <c r="A102" s="98" t="s">
        <v>92</v>
      </c>
      <c r="B102" s="99" t="s">
        <v>93</v>
      </c>
      <c r="C102" s="99" t="s">
        <v>94</v>
      </c>
      <c r="D102" s="99" t="s">
        <v>132</v>
      </c>
      <c r="E102" s="99" t="s">
        <v>142</v>
      </c>
      <c r="F102" s="99" t="s">
        <v>143</v>
      </c>
      <c r="G102" s="99" t="s">
        <v>145</v>
      </c>
      <c r="H102" s="99" t="s">
        <v>149</v>
      </c>
      <c r="I102" s="99" t="s">
        <v>91</v>
      </c>
      <c r="J102" s="99" t="s">
        <v>150</v>
      </c>
      <c r="K102" s="99" t="s">
        <v>240</v>
      </c>
      <c r="L102" s="99" t="s">
        <v>96</v>
      </c>
      <c r="M102" s="99" t="s">
        <v>97</v>
      </c>
      <c r="N102" s="100" t="s">
        <v>98</v>
      </c>
      <c r="O102" s="100" t="s">
        <v>99</v>
      </c>
      <c r="P102" s="100" t="s">
        <v>97</v>
      </c>
      <c r="Q102" s="100" t="s">
        <v>98</v>
      </c>
      <c r="R102" s="100" t="s">
        <v>99</v>
      </c>
      <c r="S102" s="100" t="s">
        <v>97</v>
      </c>
      <c r="T102" s="100" t="s">
        <v>98</v>
      </c>
      <c r="U102" s="100" t="s">
        <v>99</v>
      </c>
      <c r="V102" s="100" t="s">
        <v>97</v>
      </c>
      <c r="W102" s="100" t="s">
        <v>98</v>
      </c>
      <c r="X102" s="100" t="s">
        <v>99</v>
      </c>
      <c r="Y102" s="100" t="s">
        <v>97</v>
      </c>
      <c r="Z102" s="100" t="s">
        <v>98</v>
      </c>
      <c r="AA102" s="100" t="s">
        <v>99</v>
      </c>
      <c r="AB102" s="100" t="s">
        <v>97</v>
      </c>
      <c r="AC102" s="100" t="s">
        <v>98</v>
      </c>
      <c r="AD102" s="100" t="s">
        <v>99</v>
      </c>
      <c r="AE102" s="100" t="s">
        <v>97</v>
      </c>
      <c r="AF102" s="100" t="s">
        <v>98</v>
      </c>
      <c r="AG102" s="100" t="s">
        <v>99</v>
      </c>
      <c r="AH102" s="101" t="s">
        <v>146</v>
      </c>
      <c r="AI102" s="101" t="s">
        <v>146</v>
      </c>
      <c r="AJ102" s="100" t="s">
        <v>99</v>
      </c>
      <c r="AK102" s="146"/>
      <c r="AL102" s="142" t="s">
        <v>288</v>
      </c>
      <c r="AM102" s="142" t="s">
        <v>289</v>
      </c>
      <c r="AN102" s="142" t="s">
        <v>33</v>
      </c>
      <c r="AO102" s="10"/>
      <c r="BJ102" s="36"/>
    </row>
    <row r="103" spans="1:62" ht="15.75" x14ac:dyDescent="0.25">
      <c r="A103" s="36" t="s">
        <v>40</v>
      </c>
      <c r="B103" s="37" t="s">
        <v>100</v>
      </c>
      <c r="C103" s="37" t="str">
        <f>CONCATENATE(A103," ",B103)</f>
        <v>Shot S-70 LINGUA INGLESA</v>
      </c>
      <c r="D103" s="37" t="s">
        <v>219</v>
      </c>
      <c r="E103" s="37" t="s">
        <v>221</v>
      </c>
      <c r="F103" s="37" t="s">
        <v>223</v>
      </c>
      <c r="G103" s="37" t="s">
        <v>224</v>
      </c>
      <c r="H103" s="37" t="s">
        <v>226</v>
      </c>
      <c r="I103" s="37" t="s">
        <v>228</v>
      </c>
      <c r="J103" s="37" t="s">
        <v>231</v>
      </c>
      <c r="K103" s="37" t="s">
        <v>205</v>
      </c>
      <c r="L103" s="37" t="s">
        <v>151</v>
      </c>
      <c r="M103" s="38">
        <v>40</v>
      </c>
      <c r="N103" s="39" t="s">
        <v>246</v>
      </c>
      <c r="O103" s="40" t="s">
        <v>156</v>
      </c>
      <c r="P103" s="38">
        <v>45</v>
      </c>
      <c r="Q103" s="41" t="s">
        <v>263</v>
      </c>
      <c r="R103" s="42" t="s">
        <v>101</v>
      </c>
      <c r="S103" s="38">
        <v>80</v>
      </c>
      <c r="T103" s="39" t="s">
        <v>261</v>
      </c>
      <c r="U103" s="42" t="s">
        <v>43</v>
      </c>
      <c r="V103" s="38">
        <v>120</v>
      </c>
      <c r="W103" s="39" t="s">
        <v>262</v>
      </c>
      <c r="X103" s="42" t="s">
        <v>102</v>
      </c>
      <c r="Y103" s="43"/>
      <c r="Z103" s="44"/>
      <c r="AA103" s="44"/>
      <c r="AB103" s="44"/>
      <c r="AC103" s="44"/>
      <c r="AD103" s="44"/>
      <c r="AE103" s="44"/>
      <c r="AF103" s="44"/>
      <c r="AG103" s="44"/>
      <c r="AH103" s="37" t="s">
        <v>198</v>
      </c>
      <c r="AI103" s="49" t="s">
        <v>105</v>
      </c>
      <c r="AJ103" s="52" t="s">
        <v>242</v>
      </c>
      <c r="AK103" s="145" t="str">
        <f>C103</f>
        <v>Shot S-70 LINGUA INGLESA</v>
      </c>
      <c r="AL103" s="140" t="s">
        <v>290</v>
      </c>
      <c r="AM103" s="141" t="str">
        <f t="shared" ref="AM103:AM110" si="31">IF(COUNTBLANK(M103:AG103)=15,"2 Malhas",IF(COUNTBLANK(M103:AG103)=12,"3 Malhas",IF(COUNTBLANK(M103:AG103)=9,"4 Malhas",IF(COUNTBLANK(M103:AG103)=6,"5 Malhas",IF(COUNTBLANK(M103:AG103)=3,"6 Malhas",IF(COUNTBLANK(M103:AG103)=0,"7 Malhas",))))))</f>
        <v>4 Malhas</v>
      </c>
      <c r="AN103" s="141" t="str">
        <f>CONCATENATE(AL103," ",AM103)</f>
        <v>Shot 4 Malhas</v>
      </c>
      <c r="AO103" s="10"/>
      <c r="BJ103" s="36"/>
    </row>
    <row r="104" spans="1:62" ht="15.75" x14ac:dyDescent="0.25">
      <c r="A104" s="36" t="s">
        <v>44</v>
      </c>
      <c r="B104" s="37" t="s">
        <v>100</v>
      </c>
      <c r="C104" s="37" t="str">
        <f t="shared" ref="C104:C133" si="32">CONCATENATE(A104," ",B104)</f>
        <v>Shot S-110 LINGUA INGLESA</v>
      </c>
      <c r="D104" s="37" t="s">
        <v>219</v>
      </c>
      <c r="E104" s="37" t="s">
        <v>221</v>
      </c>
      <c r="F104" s="37" t="s">
        <v>223</v>
      </c>
      <c r="G104" s="37" t="s">
        <v>224</v>
      </c>
      <c r="H104" s="37" t="s">
        <v>226</v>
      </c>
      <c r="I104" s="37" t="s">
        <v>228</v>
      </c>
      <c r="J104" s="37" t="s">
        <v>231</v>
      </c>
      <c r="K104" s="37" t="s">
        <v>205</v>
      </c>
      <c r="L104" s="37" t="s">
        <v>151</v>
      </c>
      <c r="M104" s="38">
        <v>30</v>
      </c>
      <c r="N104" s="38" t="s">
        <v>247</v>
      </c>
      <c r="O104" s="40" t="s">
        <v>156</v>
      </c>
      <c r="P104" s="38">
        <v>35</v>
      </c>
      <c r="Q104" s="45" t="s">
        <v>264</v>
      </c>
      <c r="R104" s="42" t="s">
        <v>101</v>
      </c>
      <c r="S104" s="38">
        <v>50</v>
      </c>
      <c r="T104" s="45" t="s">
        <v>260</v>
      </c>
      <c r="U104" s="42" t="s">
        <v>43</v>
      </c>
      <c r="V104" s="38">
        <v>80</v>
      </c>
      <c r="W104" s="45" t="s">
        <v>261</v>
      </c>
      <c r="X104" s="42" t="s">
        <v>102</v>
      </c>
      <c r="Y104" s="43"/>
      <c r="Z104" s="44"/>
      <c r="AA104" s="44"/>
      <c r="AB104" s="44"/>
      <c r="AC104" s="44"/>
      <c r="AD104" s="44"/>
      <c r="AE104" s="44"/>
      <c r="AF104" s="44"/>
      <c r="AG104" s="44"/>
      <c r="AH104" s="37" t="s">
        <v>198</v>
      </c>
      <c r="AI104" s="49" t="s">
        <v>105</v>
      </c>
      <c r="AJ104" s="52" t="s">
        <v>242</v>
      </c>
      <c r="AK104" s="145" t="str">
        <f t="shared" ref="AK104:AK129" si="33">C104</f>
        <v>Shot S-110 LINGUA INGLESA</v>
      </c>
      <c r="AL104" s="140" t="s">
        <v>290</v>
      </c>
      <c r="AM104" s="141" t="str">
        <f t="shared" si="31"/>
        <v>4 Malhas</v>
      </c>
      <c r="AN104" s="141" t="str">
        <f t="shared" ref="AN104:AN129" si="34">CONCATENATE(AL104," ",AM104)</f>
        <v>Shot 4 Malhas</v>
      </c>
      <c r="AO104" s="10"/>
      <c r="BJ104" s="36"/>
    </row>
    <row r="105" spans="1:62" ht="15.75" x14ac:dyDescent="0.25">
      <c r="A105" s="36" t="s">
        <v>45</v>
      </c>
      <c r="B105" s="37" t="s">
        <v>100</v>
      </c>
      <c r="C105" s="37" t="str">
        <f t="shared" si="32"/>
        <v>Shot S-170 LINGUA INGLESA</v>
      </c>
      <c r="D105" s="37" t="s">
        <v>219</v>
      </c>
      <c r="E105" s="37" t="s">
        <v>221</v>
      </c>
      <c r="F105" s="37" t="s">
        <v>223</v>
      </c>
      <c r="G105" s="37" t="s">
        <v>224</v>
      </c>
      <c r="H105" s="37" t="s">
        <v>226</v>
      </c>
      <c r="I105" s="37" t="s">
        <v>228</v>
      </c>
      <c r="J105" s="37" t="s">
        <v>231</v>
      </c>
      <c r="K105" s="37" t="s">
        <v>205</v>
      </c>
      <c r="L105" s="37" t="s">
        <v>151</v>
      </c>
      <c r="M105" s="38">
        <v>20</v>
      </c>
      <c r="N105" s="45" t="s">
        <v>248</v>
      </c>
      <c r="O105" s="40" t="s">
        <v>156</v>
      </c>
      <c r="P105" s="38">
        <v>25</v>
      </c>
      <c r="Q105" s="45" t="s">
        <v>259</v>
      </c>
      <c r="R105" s="42" t="s">
        <v>101</v>
      </c>
      <c r="S105" s="38">
        <v>40</v>
      </c>
      <c r="T105" s="45" t="s">
        <v>246</v>
      </c>
      <c r="U105" s="37" t="s">
        <v>103</v>
      </c>
      <c r="V105" s="38">
        <v>45</v>
      </c>
      <c r="W105" s="45" t="s">
        <v>263</v>
      </c>
      <c r="X105" s="37" t="s">
        <v>104</v>
      </c>
      <c r="Y105" s="43"/>
      <c r="Z105" s="44"/>
      <c r="AA105" s="44"/>
      <c r="AB105" s="44"/>
      <c r="AC105" s="44"/>
      <c r="AD105" s="44"/>
      <c r="AE105" s="44"/>
      <c r="AF105" s="44"/>
      <c r="AG105" s="44"/>
      <c r="AH105" s="37" t="s">
        <v>198</v>
      </c>
      <c r="AI105" s="49" t="s">
        <v>105</v>
      </c>
      <c r="AJ105" s="52" t="s">
        <v>242</v>
      </c>
      <c r="AK105" s="145" t="str">
        <f t="shared" si="33"/>
        <v>Shot S-170 LINGUA INGLESA</v>
      </c>
      <c r="AL105" s="140" t="s">
        <v>290</v>
      </c>
      <c r="AM105" s="141" t="str">
        <f t="shared" si="31"/>
        <v>4 Malhas</v>
      </c>
      <c r="AN105" s="141" t="str">
        <f t="shared" si="34"/>
        <v>Shot 4 Malhas</v>
      </c>
      <c r="AO105" s="10"/>
      <c r="BJ105" s="36"/>
    </row>
    <row r="106" spans="1:62" ht="15.75" x14ac:dyDescent="0.25">
      <c r="A106" s="36" t="s">
        <v>46</v>
      </c>
      <c r="B106" s="37" t="s">
        <v>100</v>
      </c>
      <c r="C106" s="37" t="str">
        <f t="shared" si="32"/>
        <v>Shot S-230 LINGUA INGLESA</v>
      </c>
      <c r="D106" s="37" t="s">
        <v>219</v>
      </c>
      <c r="E106" s="37" t="s">
        <v>221</v>
      </c>
      <c r="F106" s="37" t="s">
        <v>223</v>
      </c>
      <c r="G106" s="37" t="s">
        <v>224</v>
      </c>
      <c r="H106" s="37" t="s">
        <v>226</v>
      </c>
      <c r="I106" s="37" t="s">
        <v>228</v>
      </c>
      <c r="J106" s="37" t="s">
        <v>231</v>
      </c>
      <c r="K106" s="37" t="s">
        <v>205</v>
      </c>
      <c r="L106" s="37" t="s">
        <v>151</v>
      </c>
      <c r="M106" s="38">
        <v>18</v>
      </c>
      <c r="N106" s="124" t="s">
        <v>249</v>
      </c>
      <c r="O106" s="40" t="s">
        <v>156</v>
      </c>
      <c r="P106" s="38">
        <v>20</v>
      </c>
      <c r="Q106" s="45" t="s">
        <v>248</v>
      </c>
      <c r="R106" s="42" t="s">
        <v>101</v>
      </c>
      <c r="S106" s="38">
        <v>30</v>
      </c>
      <c r="T106" s="45" t="s">
        <v>247</v>
      </c>
      <c r="U106" s="37" t="s">
        <v>103</v>
      </c>
      <c r="V106" s="38">
        <v>35</v>
      </c>
      <c r="W106" s="45" t="s">
        <v>264</v>
      </c>
      <c r="X106" s="37" t="s">
        <v>104</v>
      </c>
      <c r="Y106" s="43"/>
      <c r="Z106" s="44"/>
      <c r="AA106" s="44"/>
      <c r="AB106" s="44"/>
      <c r="AC106" s="44"/>
      <c r="AD106" s="44"/>
      <c r="AE106" s="44"/>
      <c r="AF106" s="44"/>
      <c r="AG106" s="44"/>
      <c r="AH106" s="37" t="s">
        <v>198</v>
      </c>
      <c r="AI106" s="49" t="s">
        <v>105</v>
      </c>
      <c r="AJ106" s="52" t="s">
        <v>242</v>
      </c>
      <c r="AK106" s="145" t="str">
        <f t="shared" si="33"/>
        <v>Shot S-230 LINGUA INGLESA</v>
      </c>
      <c r="AL106" s="140" t="s">
        <v>290</v>
      </c>
      <c r="AM106" s="141" t="str">
        <f t="shared" si="31"/>
        <v>4 Malhas</v>
      </c>
      <c r="AN106" s="141" t="str">
        <f t="shared" si="34"/>
        <v>Shot 4 Malhas</v>
      </c>
      <c r="AO106" s="10"/>
      <c r="BJ106" s="36"/>
    </row>
    <row r="107" spans="1:62" ht="15.75" x14ac:dyDescent="0.25">
      <c r="A107" s="36" t="s">
        <v>47</v>
      </c>
      <c r="B107" s="37" t="s">
        <v>100</v>
      </c>
      <c r="C107" s="37" t="str">
        <f t="shared" si="32"/>
        <v>Shot S-280 LINGUA INGLESA</v>
      </c>
      <c r="D107" s="37" t="s">
        <v>219</v>
      </c>
      <c r="E107" s="37" t="s">
        <v>221</v>
      </c>
      <c r="F107" s="37" t="s">
        <v>223</v>
      </c>
      <c r="G107" s="37" t="s">
        <v>224</v>
      </c>
      <c r="H107" s="37" t="s">
        <v>226</v>
      </c>
      <c r="I107" s="37" t="s">
        <v>228</v>
      </c>
      <c r="J107" s="37" t="s">
        <v>231</v>
      </c>
      <c r="K107" s="37" t="s">
        <v>205</v>
      </c>
      <c r="L107" s="37" t="s">
        <v>151</v>
      </c>
      <c r="M107" s="38">
        <v>16</v>
      </c>
      <c r="N107" s="124" t="s">
        <v>250</v>
      </c>
      <c r="O107" s="40" t="s">
        <v>156</v>
      </c>
      <c r="P107" s="38">
        <v>18</v>
      </c>
      <c r="Q107" s="124" t="s">
        <v>249</v>
      </c>
      <c r="R107" s="37" t="s">
        <v>105</v>
      </c>
      <c r="S107" s="38">
        <v>25</v>
      </c>
      <c r="T107" s="45" t="s">
        <v>259</v>
      </c>
      <c r="U107" s="37" t="s">
        <v>103</v>
      </c>
      <c r="V107" s="38">
        <v>30</v>
      </c>
      <c r="W107" s="45" t="s">
        <v>247</v>
      </c>
      <c r="X107" s="37" t="s">
        <v>106</v>
      </c>
      <c r="Y107" s="43"/>
      <c r="Z107" s="44"/>
      <c r="AA107" s="44"/>
      <c r="AB107" s="44"/>
      <c r="AC107" s="44"/>
      <c r="AD107" s="44"/>
      <c r="AE107" s="44"/>
      <c r="AF107" s="44"/>
      <c r="AG107" s="44"/>
      <c r="AH107" s="37" t="s">
        <v>198</v>
      </c>
      <c r="AI107" s="49" t="s">
        <v>105</v>
      </c>
      <c r="AJ107" s="52" t="s">
        <v>242</v>
      </c>
      <c r="AK107" s="145" t="str">
        <f t="shared" si="33"/>
        <v>Shot S-280 LINGUA INGLESA</v>
      </c>
      <c r="AL107" s="140" t="s">
        <v>290</v>
      </c>
      <c r="AM107" s="141" t="str">
        <f t="shared" si="31"/>
        <v>4 Malhas</v>
      </c>
      <c r="AN107" s="141" t="str">
        <f t="shared" si="34"/>
        <v>Shot 4 Malhas</v>
      </c>
      <c r="AO107" s="10"/>
      <c r="BJ107" s="36"/>
    </row>
    <row r="108" spans="1:62" ht="15.75" x14ac:dyDescent="0.25">
      <c r="A108" s="36" t="s">
        <v>49</v>
      </c>
      <c r="B108" s="37" t="s">
        <v>100</v>
      </c>
      <c r="C108" s="37" t="str">
        <f t="shared" si="32"/>
        <v>Shot S-330 LINGUA INGLESA</v>
      </c>
      <c r="D108" s="37" t="s">
        <v>219</v>
      </c>
      <c r="E108" s="37" t="s">
        <v>221</v>
      </c>
      <c r="F108" s="37" t="s">
        <v>223</v>
      </c>
      <c r="G108" s="37" t="s">
        <v>224</v>
      </c>
      <c r="H108" s="37" t="s">
        <v>226</v>
      </c>
      <c r="I108" s="37" t="s">
        <v>228</v>
      </c>
      <c r="J108" s="37" t="s">
        <v>231</v>
      </c>
      <c r="K108" s="37" t="s">
        <v>205</v>
      </c>
      <c r="L108" s="37" t="s">
        <v>151</v>
      </c>
      <c r="M108" s="38">
        <v>14</v>
      </c>
      <c r="N108" s="124" t="s">
        <v>251</v>
      </c>
      <c r="O108" s="40" t="s">
        <v>156</v>
      </c>
      <c r="P108" s="38">
        <v>16</v>
      </c>
      <c r="Q108" s="124" t="s">
        <v>250</v>
      </c>
      <c r="R108" s="37" t="s">
        <v>105</v>
      </c>
      <c r="S108" s="38">
        <v>20</v>
      </c>
      <c r="T108" s="45" t="s">
        <v>248</v>
      </c>
      <c r="U108" s="37" t="s">
        <v>103</v>
      </c>
      <c r="V108" s="38">
        <v>25</v>
      </c>
      <c r="W108" s="45" t="s">
        <v>259</v>
      </c>
      <c r="X108" s="37" t="s">
        <v>106</v>
      </c>
      <c r="Y108" s="43"/>
      <c r="Z108" s="44"/>
      <c r="AA108" s="44"/>
      <c r="AB108" s="44"/>
      <c r="AC108" s="44"/>
      <c r="AD108" s="44"/>
      <c r="AE108" s="44"/>
      <c r="AF108" s="44"/>
      <c r="AG108" s="44"/>
      <c r="AH108" s="37" t="s">
        <v>198</v>
      </c>
      <c r="AI108" s="49" t="s">
        <v>105</v>
      </c>
      <c r="AJ108" s="52" t="s">
        <v>242</v>
      </c>
      <c r="AK108" s="145" t="str">
        <f t="shared" si="33"/>
        <v>Shot S-330 LINGUA INGLESA</v>
      </c>
      <c r="AL108" s="140" t="s">
        <v>290</v>
      </c>
      <c r="AM108" s="141" t="str">
        <f t="shared" si="31"/>
        <v>4 Malhas</v>
      </c>
      <c r="AN108" s="141" t="str">
        <f t="shared" si="34"/>
        <v>Shot 4 Malhas</v>
      </c>
      <c r="AO108" s="10"/>
      <c r="BJ108" s="36"/>
    </row>
    <row r="109" spans="1:62" ht="15.75" x14ac:dyDescent="0.25">
      <c r="A109" s="36" t="s">
        <v>50</v>
      </c>
      <c r="B109" s="37" t="s">
        <v>100</v>
      </c>
      <c r="C109" s="37" t="str">
        <f t="shared" si="32"/>
        <v>Shot S-390 LINGUA INGLESA</v>
      </c>
      <c r="D109" s="37" t="s">
        <v>219</v>
      </c>
      <c r="E109" s="37" t="s">
        <v>221</v>
      </c>
      <c r="F109" s="37" t="s">
        <v>223</v>
      </c>
      <c r="G109" s="37" t="s">
        <v>224</v>
      </c>
      <c r="H109" s="37" t="s">
        <v>226</v>
      </c>
      <c r="I109" s="37" t="s">
        <v>228</v>
      </c>
      <c r="J109" s="37" t="s">
        <v>231</v>
      </c>
      <c r="K109" s="37" t="s">
        <v>205</v>
      </c>
      <c r="L109" s="37" t="s">
        <v>151</v>
      </c>
      <c r="M109" s="38">
        <v>12</v>
      </c>
      <c r="N109" s="124" t="s">
        <v>252</v>
      </c>
      <c r="O109" s="40" t="s">
        <v>156</v>
      </c>
      <c r="P109" s="38">
        <v>14</v>
      </c>
      <c r="Q109" s="124" t="s">
        <v>251</v>
      </c>
      <c r="R109" s="37" t="s">
        <v>105</v>
      </c>
      <c r="S109" s="38">
        <v>18</v>
      </c>
      <c r="T109" s="124" t="s">
        <v>249</v>
      </c>
      <c r="U109" s="37" t="s">
        <v>103</v>
      </c>
      <c r="V109" s="38">
        <v>20</v>
      </c>
      <c r="W109" s="45" t="s">
        <v>248</v>
      </c>
      <c r="X109" s="37" t="s">
        <v>106</v>
      </c>
      <c r="Y109" s="43"/>
      <c r="Z109" s="44"/>
      <c r="AA109" s="44"/>
      <c r="AB109" s="44"/>
      <c r="AC109" s="44"/>
      <c r="AD109" s="44"/>
      <c r="AE109" s="44"/>
      <c r="AF109" s="44"/>
      <c r="AG109" s="44"/>
      <c r="AH109" s="37" t="s">
        <v>198</v>
      </c>
      <c r="AI109" s="49" t="s">
        <v>105</v>
      </c>
      <c r="AJ109" s="52" t="s">
        <v>242</v>
      </c>
      <c r="AK109" s="145" t="str">
        <f t="shared" si="33"/>
        <v>Shot S-390 LINGUA INGLESA</v>
      </c>
      <c r="AL109" s="140" t="s">
        <v>290</v>
      </c>
      <c r="AM109" s="141" t="str">
        <f t="shared" si="31"/>
        <v>4 Malhas</v>
      </c>
      <c r="AN109" s="141" t="str">
        <f t="shared" si="34"/>
        <v>Shot 4 Malhas</v>
      </c>
      <c r="AO109" s="10"/>
      <c r="BJ109" s="36"/>
    </row>
    <row r="110" spans="1:62" ht="15.75" x14ac:dyDescent="0.25">
      <c r="A110" s="36" t="s">
        <v>51</v>
      </c>
      <c r="B110" s="37" t="s">
        <v>100</v>
      </c>
      <c r="C110" s="37" t="str">
        <f t="shared" si="32"/>
        <v>Shot S-460 LINGUA INGLESA</v>
      </c>
      <c r="D110" s="37" t="s">
        <v>219</v>
      </c>
      <c r="E110" s="37" t="s">
        <v>221</v>
      </c>
      <c r="F110" s="37" t="s">
        <v>223</v>
      </c>
      <c r="G110" s="37" t="s">
        <v>224</v>
      </c>
      <c r="H110" s="37" t="s">
        <v>226</v>
      </c>
      <c r="I110" s="37" t="s">
        <v>228</v>
      </c>
      <c r="J110" s="37" t="s">
        <v>231</v>
      </c>
      <c r="K110" s="37" t="s">
        <v>205</v>
      </c>
      <c r="L110" s="37" t="s">
        <v>151</v>
      </c>
      <c r="M110" s="38">
        <v>10</v>
      </c>
      <c r="N110" s="124" t="s">
        <v>253</v>
      </c>
      <c r="O110" s="40" t="s">
        <v>156</v>
      </c>
      <c r="P110" s="38">
        <v>12</v>
      </c>
      <c r="Q110" s="124" t="s">
        <v>252</v>
      </c>
      <c r="R110" s="37" t="s">
        <v>105</v>
      </c>
      <c r="S110" s="38">
        <v>16</v>
      </c>
      <c r="T110" s="124" t="s">
        <v>250</v>
      </c>
      <c r="U110" s="37" t="s">
        <v>103</v>
      </c>
      <c r="V110" s="38">
        <v>18</v>
      </c>
      <c r="W110" s="124" t="s">
        <v>249</v>
      </c>
      <c r="X110" s="37" t="s">
        <v>106</v>
      </c>
      <c r="Y110" s="43"/>
      <c r="Z110" s="44"/>
      <c r="AA110" s="44"/>
      <c r="AB110" s="44"/>
      <c r="AC110" s="44"/>
      <c r="AD110" s="44"/>
      <c r="AE110" s="44"/>
      <c r="AF110" s="44"/>
      <c r="AG110" s="44"/>
      <c r="AH110" s="37" t="s">
        <v>198</v>
      </c>
      <c r="AI110" s="49" t="s">
        <v>105</v>
      </c>
      <c r="AJ110" s="52" t="s">
        <v>242</v>
      </c>
      <c r="AK110" s="145" t="str">
        <f t="shared" si="33"/>
        <v>Shot S-460 LINGUA INGLESA</v>
      </c>
      <c r="AL110" s="140" t="s">
        <v>290</v>
      </c>
      <c r="AM110" s="141" t="str">
        <f t="shared" si="31"/>
        <v>4 Malhas</v>
      </c>
      <c r="AN110" s="141" t="str">
        <f t="shared" si="34"/>
        <v>Shot 4 Malhas</v>
      </c>
      <c r="AO110" s="10"/>
      <c r="BJ110" s="36"/>
    </row>
    <row r="111" spans="1:62" ht="15.75" x14ac:dyDescent="0.25">
      <c r="A111" s="36" t="s">
        <v>52</v>
      </c>
      <c r="B111" s="37" t="s">
        <v>100</v>
      </c>
      <c r="C111" s="37" t="str">
        <f t="shared" si="32"/>
        <v>Shot S-550 LINGUA INGLESA</v>
      </c>
      <c r="D111" s="37" t="s">
        <v>219</v>
      </c>
      <c r="E111" s="37" t="s">
        <v>221</v>
      </c>
      <c r="F111" s="37" t="s">
        <v>223</v>
      </c>
      <c r="G111" s="37" t="s">
        <v>224</v>
      </c>
      <c r="H111" s="37" t="s">
        <v>226</v>
      </c>
      <c r="I111" s="37" t="s">
        <v>228</v>
      </c>
      <c r="J111" s="37" t="s">
        <v>231</v>
      </c>
      <c r="K111" s="37" t="s">
        <v>205</v>
      </c>
      <c r="L111" s="37" t="s">
        <v>151</v>
      </c>
      <c r="M111" s="38">
        <v>10</v>
      </c>
      <c r="N111" s="124" t="s">
        <v>253</v>
      </c>
      <c r="O111" s="40" t="s">
        <v>156</v>
      </c>
      <c r="P111" s="38">
        <v>14</v>
      </c>
      <c r="Q111" s="124" t="s">
        <v>251</v>
      </c>
      <c r="R111" s="37" t="s">
        <v>103</v>
      </c>
      <c r="S111" s="38">
        <v>16</v>
      </c>
      <c r="T111" s="124" t="s">
        <v>250</v>
      </c>
      <c r="U111" s="37" t="s">
        <v>104</v>
      </c>
      <c r="V111" s="38"/>
      <c r="W111" s="46"/>
      <c r="X111" s="44"/>
      <c r="Y111" s="43"/>
      <c r="Z111" s="44"/>
      <c r="AA111" s="44"/>
      <c r="AB111" s="44"/>
      <c r="AC111" s="44"/>
      <c r="AD111" s="44"/>
      <c r="AE111" s="44"/>
      <c r="AF111" s="44"/>
      <c r="AG111" s="44"/>
      <c r="AH111" s="37" t="s">
        <v>198</v>
      </c>
      <c r="AI111" s="49" t="s">
        <v>105</v>
      </c>
      <c r="AJ111" s="52" t="s">
        <v>242</v>
      </c>
      <c r="AK111" s="145" t="str">
        <f t="shared" si="33"/>
        <v>Shot S-550 LINGUA INGLESA</v>
      </c>
      <c r="AL111" s="140" t="s">
        <v>290</v>
      </c>
      <c r="AM111" s="141" t="str">
        <f t="shared" ref="AM111:AM129" si="35">IF(COUNTBLANK(M111:AG111)=15,"2 Malhas",IF(COUNTBLANK(M111:AG111)=12,"3 Malhas",IF(COUNTBLANK(M111:AG111)=9,"4 Malhas",IF(COUNTBLANK(M111:AG111)=6,"5 Malhas",IF(COUNTBLANK(M111:AG111)=3,"6 Malhas",IF(COUNTBLANK(M111:AG111)=0,"7 Malhas",))))))</f>
        <v>3 Malhas</v>
      </c>
      <c r="AN111" s="141" t="str">
        <f t="shared" si="34"/>
        <v>Shot 3 Malhas</v>
      </c>
      <c r="AO111" s="10"/>
      <c r="BJ111" s="36"/>
    </row>
    <row r="112" spans="1:62" ht="15.75" x14ac:dyDescent="0.25">
      <c r="A112" s="36" t="s">
        <v>53</v>
      </c>
      <c r="B112" s="37" t="s">
        <v>100</v>
      </c>
      <c r="C112" s="37" t="str">
        <f t="shared" si="32"/>
        <v>Shot S-660 LINGUA INGLESA</v>
      </c>
      <c r="D112" s="37" t="s">
        <v>219</v>
      </c>
      <c r="E112" s="37" t="s">
        <v>221</v>
      </c>
      <c r="F112" s="37" t="s">
        <v>223</v>
      </c>
      <c r="G112" s="37" t="s">
        <v>224</v>
      </c>
      <c r="H112" s="37" t="s">
        <v>226</v>
      </c>
      <c r="I112" s="37" t="s">
        <v>228</v>
      </c>
      <c r="J112" s="37" t="s">
        <v>231</v>
      </c>
      <c r="K112" s="37" t="s">
        <v>205</v>
      </c>
      <c r="L112" s="37" t="s">
        <v>151</v>
      </c>
      <c r="M112" s="38">
        <v>8</v>
      </c>
      <c r="N112" s="124" t="s">
        <v>254</v>
      </c>
      <c r="O112" s="40" t="s">
        <v>156</v>
      </c>
      <c r="P112" s="38">
        <v>12</v>
      </c>
      <c r="Q112" s="124" t="s">
        <v>252</v>
      </c>
      <c r="R112" s="37" t="s">
        <v>103</v>
      </c>
      <c r="S112" s="38">
        <v>14</v>
      </c>
      <c r="T112" s="124" t="s">
        <v>251</v>
      </c>
      <c r="U112" s="37" t="s">
        <v>104</v>
      </c>
      <c r="V112" s="38"/>
      <c r="W112" s="46"/>
      <c r="X112" s="44"/>
      <c r="Y112" s="43"/>
      <c r="Z112" s="44"/>
      <c r="AA112" s="44"/>
      <c r="AB112" s="44"/>
      <c r="AC112" s="44"/>
      <c r="AD112" s="44"/>
      <c r="AE112" s="44"/>
      <c r="AF112" s="44"/>
      <c r="AG112" s="44"/>
      <c r="AH112" s="37" t="s">
        <v>198</v>
      </c>
      <c r="AI112" s="49" t="s">
        <v>105</v>
      </c>
      <c r="AJ112" s="52" t="s">
        <v>242</v>
      </c>
      <c r="AK112" s="145" t="str">
        <f t="shared" si="33"/>
        <v>Shot S-660 LINGUA INGLESA</v>
      </c>
      <c r="AL112" s="140" t="s">
        <v>290</v>
      </c>
      <c r="AM112" s="141" t="str">
        <f t="shared" si="35"/>
        <v>3 Malhas</v>
      </c>
      <c r="AN112" s="141" t="str">
        <f t="shared" si="34"/>
        <v>Shot 3 Malhas</v>
      </c>
      <c r="AO112" s="10"/>
      <c r="BJ112" s="36"/>
    </row>
    <row r="113" spans="1:62" ht="15.75" x14ac:dyDescent="0.25">
      <c r="A113" s="36" t="s">
        <v>54</v>
      </c>
      <c r="B113" s="37" t="s">
        <v>100</v>
      </c>
      <c r="C113" s="37" t="str">
        <f t="shared" si="32"/>
        <v>Shot S-780 LINGUA INGLESA</v>
      </c>
      <c r="D113" s="37" t="s">
        <v>219</v>
      </c>
      <c r="E113" s="37" t="s">
        <v>221</v>
      </c>
      <c r="F113" s="37" t="s">
        <v>223</v>
      </c>
      <c r="G113" s="37" t="s">
        <v>224</v>
      </c>
      <c r="H113" s="37" t="s">
        <v>226</v>
      </c>
      <c r="I113" s="37" t="s">
        <v>228</v>
      </c>
      <c r="J113" s="37" t="s">
        <v>231</v>
      </c>
      <c r="K113" s="37" t="s">
        <v>205</v>
      </c>
      <c r="L113" s="37" t="s">
        <v>151</v>
      </c>
      <c r="M113" s="38">
        <v>7</v>
      </c>
      <c r="N113" s="124" t="s">
        <v>255</v>
      </c>
      <c r="O113" s="40" t="s">
        <v>156</v>
      </c>
      <c r="P113" s="38">
        <v>10</v>
      </c>
      <c r="Q113" s="124" t="s">
        <v>253</v>
      </c>
      <c r="R113" s="37" t="s">
        <v>103</v>
      </c>
      <c r="S113" s="38">
        <v>12</v>
      </c>
      <c r="T113" s="124" t="s">
        <v>252</v>
      </c>
      <c r="U113" s="37" t="s">
        <v>104</v>
      </c>
      <c r="V113" s="38"/>
      <c r="W113" s="46"/>
      <c r="X113" s="44"/>
      <c r="Y113" s="43"/>
      <c r="Z113" s="44"/>
      <c r="AA113" s="44"/>
      <c r="AB113" s="44"/>
      <c r="AC113" s="44"/>
      <c r="AD113" s="44"/>
      <c r="AE113" s="44"/>
      <c r="AF113" s="44"/>
      <c r="AG113" s="44"/>
      <c r="AH113" s="37" t="s">
        <v>198</v>
      </c>
      <c r="AI113" s="49" t="s">
        <v>105</v>
      </c>
      <c r="AJ113" s="52" t="s">
        <v>242</v>
      </c>
      <c r="AK113" s="145" t="str">
        <f t="shared" si="33"/>
        <v>Shot S-780 LINGUA INGLESA</v>
      </c>
      <c r="AL113" s="140" t="s">
        <v>290</v>
      </c>
      <c r="AM113" s="141" t="str">
        <f t="shared" si="35"/>
        <v>3 Malhas</v>
      </c>
      <c r="AN113" s="141" t="str">
        <f t="shared" si="34"/>
        <v>Shot 3 Malhas</v>
      </c>
      <c r="AO113" s="10"/>
      <c r="BJ113" s="36"/>
    </row>
    <row r="114" spans="1:62" ht="15.75" x14ac:dyDescent="0.25">
      <c r="A114" s="36" t="s">
        <v>55</v>
      </c>
      <c r="B114" s="37" t="s">
        <v>100</v>
      </c>
      <c r="C114" s="37" t="str">
        <f t="shared" si="32"/>
        <v>Grit G-14S LINGUA INGLESA</v>
      </c>
      <c r="D114" s="37" t="s">
        <v>220</v>
      </c>
      <c r="E114" s="37" t="s">
        <v>222</v>
      </c>
      <c r="F114" s="37" t="s">
        <v>223</v>
      </c>
      <c r="G114" s="37" t="s">
        <v>225</v>
      </c>
      <c r="H114" s="37" t="s">
        <v>227</v>
      </c>
      <c r="I114" s="37" t="s">
        <v>229</v>
      </c>
      <c r="J114" s="37" t="s">
        <v>230</v>
      </c>
      <c r="K114" s="37" t="s">
        <v>239</v>
      </c>
      <c r="L114" s="37" t="s">
        <v>152</v>
      </c>
      <c r="M114" s="38">
        <v>10</v>
      </c>
      <c r="N114" s="124" t="s">
        <v>253</v>
      </c>
      <c r="O114" s="40" t="s">
        <v>156</v>
      </c>
      <c r="P114" s="38">
        <v>14</v>
      </c>
      <c r="Q114" s="124" t="s">
        <v>251</v>
      </c>
      <c r="R114" s="47" t="s">
        <v>43</v>
      </c>
      <c r="S114" s="38">
        <v>16</v>
      </c>
      <c r="T114" s="124" t="s">
        <v>250</v>
      </c>
      <c r="U114" s="47" t="s">
        <v>107</v>
      </c>
      <c r="V114" s="38"/>
      <c r="W114" s="46"/>
      <c r="X114" s="44"/>
      <c r="Y114" s="43"/>
      <c r="Z114" s="44"/>
      <c r="AA114" s="44"/>
      <c r="AB114" s="44"/>
      <c r="AC114" s="44"/>
      <c r="AD114" s="44"/>
      <c r="AE114" s="44"/>
      <c r="AF114" s="44"/>
      <c r="AG114" s="44"/>
      <c r="AH114" s="37" t="s">
        <v>199</v>
      </c>
      <c r="AI114" s="42" t="s">
        <v>101</v>
      </c>
      <c r="AJ114" s="52" t="s">
        <v>242</v>
      </c>
      <c r="AK114" s="145" t="str">
        <f t="shared" si="33"/>
        <v>Grit G-14S LINGUA INGLESA</v>
      </c>
      <c r="AL114" s="140" t="s">
        <v>291</v>
      </c>
      <c r="AM114" s="141" t="str">
        <f t="shared" si="35"/>
        <v>3 Malhas</v>
      </c>
      <c r="AN114" s="141" t="str">
        <f t="shared" si="34"/>
        <v>Grit 3 Malhas</v>
      </c>
      <c r="AO114" s="10"/>
      <c r="AP114" s="237"/>
      <c r="AQ114" s="237"/>
      <c r="AR114" s="237"/>
      <c r="BJ114" s="36"/>
    </row>
    <row r="115" spans="1:62" ht="15.75" x14ac:dyDescent="0.25">
      <c r="A115" s="36" t="s">
        <v>56</v>
      </c>
      <c r="B115" s="37" t="s">
        <v>100</v>
      </c>
      <c r="C115" s="37" t="str">
        <f t="shared" si="32"/>
        <v>Grit G-16S LINGUA INGLESA</v>
      </c>
      <c r="D115" s="37" t="s">
        <v>220</v>
      </c>
      <c r="E115" s="37" t="s">
        <v>222</v>
      </c>
      <c r="F115" s="37" t="s">
        <v>223</v>
      </c>
      <c r="G115" s="37" t="s">
        <v>225</v>
      </c>
      <c r="H115" s="37" t="s">
        <v>227</v>
      </c>
      <c r="I115" s="37" t="s">
        <v>229</v>
      </c>
      <c r="J115" s="37" t="s">
        <v>230</v>
      </c>
      <c r="K115" s="37" t="s">
        <v>239</v>
      </c>
      <c r="L115" s="37" t="s">
        <v>152</v>
      </c>
      <c r="M115" s="38">
        <v>12</v>
      </c>
      <c r="N115" s="124" t="s">
        <v>252</v>
      </c>
      <c r="O115" s="40" t="s">
        <v>156</v>
      </c>
      <c r="P115" s="38">
        <v>16</v>
      </c>
      <c r="Q115" s="124" t="s">
        <v>250</v>
      </c>
      <c r="R115" s="47" t="s">
        <v>108</v>
      </c>
      <c r="S115" s="38">
        <v>18</v>
      </c>
      <c r="T115" s="124" t="s">
        <v>249</v>
      </c>
      <c r="U115" s="47" t="s">
        <v>103</v>
      </c>
      <c r="V115" s="38"/>
      <c r="W115" s="46"/>
      <c r="X115" s="44"/>
      <c r="Y115" s="43"/>
      <c r="Z115" s="44"/>
      <c r="AA115" s="44"/>
      <c r="AB115" s="44"/>
      <c r="AC115" s="44"/>
      <c r="AD115" s="44"/>
      <c r="AE115" s="44"/>
      <c r="AF115" s="44"/>
      <c r="AG115" s="44"/>
      <c r="AH115" s="37" t="s">
        <v>199</v>
      </c>
      <c r="AI115" s="42" t="s">
        <v>101</v>
      </c>
      <c r="AJ115" s="52" t="s">
        <v>242</v>
      </c>
      <c r="AK115" s="145" t="str">
        <f t="shared" si="33"/>
        <v>Grit G-16S LINGUA INGLESA</v>
      </c>
      <c r="AL115" s="140" t="s">
        <v>291</v>
      </c>
      <c r="AM115" s="141" t="str">
        <f t="shared" si="35"/>
        <v>3 Malhas</v>
      </c>
      <c r="AN115" s="141" t="str">
        <f t="shared" si="34"/>
        <v>Grit 3 Malhas</v>
      </c>
      <c r="AO115" s="10"/>
      <c r="BJ115" s="36"/>
    </row>
    <row r="116" spans="1:62" ht="15.75" x14ac:dyDescent="0.25">
      <c r="A116" s="36" t="s">
        <v>57</v>
      </c>
      <c r="B116" s="37" t="s">
        <v>100</v>
      </c>
      <c r="C116" s="37" t="str">
        <f t="shared" si="32"/>
        <v>Grit G-18S LINGUA INGLESA</v>
      </c>
      <c r="D116" s="37" t="s">
        <v>220</v>
      </c>
      <c r="E116" s="37" t="s">
        <v>222</v>
      </c>
      <c r="F116" s="37" t="s">
        <v>223</v>
      </c>
      <c r="G116" s="37" t="s">
        <v>225</v>
      </c>
      <c r="H116" s="37" t="s">
        <v>227</v>
      </c>
      <c r="I116" s="37" t="s">
        <v>229</v>
      </c>
      <c r="J116" s="37" t="s">
        <v>230</v>
      </c>
      <c r="K116" s="37" t="s">
        <v>239</v>
      </c>
      <c r="L116" s="37" t="s">
        <v>152</v>
      </c>
      <c r="M116" s="38">
        <v>14</v>
      </c>
      <c r="N116" s="124" t="s">
        <v>251</v>
      </c>
      <c r="O116" s="40" t="s">
        <v>156</v>
      </c>
      <c r="P116" s="38">
        <v>18</v>
      </c>
      <c r="Q116" s="124" t="s">
        <v>249</v>
      </c>
      <c r="R116" s="47" t="s">
        <v>108</v>
      </c>
      <c r="S116" s="38">
        <v>25</v>
      </c>
      <c r="T116" s="45" t="s">
        <v>259</v>
      </c>
      <c r="U116" s="47" t="s">
        <v>103</v>
      </c>
      <c r="V116" s="38"/>
      <c r="W116" s="46"/>
      <c r="X116" s="44"/>
      <c r="Y116" s="43"/>
      <c r="Z116" s="44"/>
      <c r="AA116" s="44"/>
      <c r="AB116" s="44"/>
      <c r="AC116" s="44"/>
      <c r="AD116" s="44"/>
      <c r="AE116" s="44"/>
      <c r="AF116" s="44"/>
      <c r="AG116" s="44"/>
      <c r="AH116" s="37" t="s">
        <v>199</v>
      </c>
      <c r="AI116" s="42" t="s">
        <v>101</v>
      </c>
      <c r="AJ116" s="52" t="s">
        <v>242</v>
      </c>
      <c r="AK116" s="145" t="str">
        <f t="shared" si="33"/>
        <v>Grit G-18S LINGUA INGLESA</v>
      </c>
      <c r="AL116" s="140" t="s">
        <v>291</v>
      </c>
      <c r="AM116" s="141" t="str">
        <f t="shared" si="35"/>
        <v>3 Malhas</v>
      </c>
      <c r="AN116" s="141" t="str">
        <f t="shared" si="34"/>
        <v>Grit 3 Malhas</v>
      </c>
      <c r="AO116" s="10"/>
      <c r="BJ116" s="36"/>
    </row>
    <row r="117" spans="1:62" ht="15.75" x14ac:dyDescent="0.25">
      <c r="A117" s="36" t="s">
        <v>58</v>
      </c>
      <c r="B117" s="37" t="s">
        <v>100</v>
      </c>
      <c r="C117" s="37" t="str">
        <f t="shared" si="32"/>
        <v>Grit G-25S LINGUA INGLESA</v>
      </c>
      <c r="D117" s="37" t="s">
        <v>220</v>
      </c>
      <c r="E117" s="37" t="s">
        <v>222</v>
      </c>
      <c r="F117" s="37" t="s">
        <v>223</v>
      </c>
      <c r="G117" s="37" t="s">
        <v>225</v>
      </c>
      <c r="H117" s="37" t="s">
        <v>227</v>
      </c>
      <c r="I117" s="37" t="s">
        <v>229</v>
      </c>
      <c r="J117" s="37" t="s">
        <v>230</v>
      </c>
      <c r="K117" s="37" t="s">
        <v>239</v>
      </c>
      <c r="L117" s="37" t="s">
        <v>152</v>
      </c>
      <c r="M117" s="38">
        <v>16</v>
      </c>
      <c r="N117" s="124" t="s">
        <v>250</v>
      </c>
      <c r="O117" s="40" t="s">
        <v>156</v>
      </c>
      <c r="P117" s="38">
        <v>25</v>
      </c>
      <c r="Q117" s="45" t="s">
        <v>259</v>
      </c>
      <c r="R117" s="47" t="s">
        <v>109</v>
      </c>
      <c r="S117" s="38">
        <v>40</v>
      </c>
      <c r="T117" s="45" t="s">
        <v>246</v>
      </c>
      <c r="U117" s="47" t="s">
        <v>43</v>
      </c>
      <c r="V117" s="38"/>
      <c r="W117" s="46"/>
      <c r="X117" s="44"/>
      <c r="Y117" s="43"/>
      <c r="Z117" s="44"/>
      <c r="AA117" s="44"/>
      <c r="AB117" s="44"/>
      <c r="AC117" s="44"/>
      <c r="AD117" s="44"/>
      <c r="AE117" s="44"/>
      <c r="AF117" s="44"/>
      <c r="AG117" s="44"/>
      <c r="AH117" s="37" t="s">
        <v>199</v>
      </c>
      <c r="AI117" s="42" t="s">
        <v>101</v>
      </c>
      <c r="AJ117" s="52" t="s">
        <v>242</v>
      </c>
      <c r="AK117" s="145" t="str">
        <f t="shared" si="33"/>
        <v>Grit G-25S LINGUA INGLESA</v>
      </c>
      <c r="AL117" s="140" t="s">
        <v>291</v>
      </c>
      <c r="AM117" s="141" t="str">
        <f t="shared" si="35"/>
        <v>3 Malhas</v>
      </c>
      <c r="AN117" s="141" t="str">
        <f t="shared" si="34"/>
        <v>Grit 3 Malhas</v>
      </c>
      <c r="AO117" s="10"/>
      <c r="BJ117" s="36"/>
    </row>
    <row r="118" spans="1:62" ht="15.75" x14ac:dyDescent="0.25">
      <c r="A118" s="36" t="s">
        <v>59</v>
      </c>
      <c r="B118" s="37" t="s">
        <v>100</v>
      </c>
      <c r="C118" s="37" t="str">
        <f t="shared" si="32"/>
        <v>Grit G-40S LINGUA INGLESA</v>
      </c>
      <c r="D118" s="37" t="s">
        <v>220</v>
      </c>
      <c r="E118" s="37" t="s">
        <v>222</v>
      </c>
      <c r="F118" s="37" t="s">
        <v>223</v>
      </c>
      <c r="G118" s="37" t="s">
        <v>225</v>
      </c>
      <c r="H118" s="37" t="s">
        <v>227</v>
      </c>
      <c r="I118" s="37" t="s">
        <v>229</v>
      </c>
      <c r="J118" s="37" t="s">
        <v>230</v>
      </c>
      <c r="K118" s="37" t="s">
        <v>239</v>
      </c>
      <c r="L118" s="37" t="s">
        <v>152</v>
      </c>
      <c r="M118" s="38">
        <v>18</v>
      </c>
      <c r="N118" s="124" t="s">
        <v>249</v>
      </c>
      <c r="O118" s="40" t="s">
        <v>156</v>
      </c>
      <c r="P118" s="38">
        <v>40</v>
      </c>
      <c r="Q118" s="45" t="s">
        <v>246</v>
      </c>
      <c r="R118" s="47" t="s">
        <v>110</v>
      </c>
      <c r="S118" s="38">
        <v>50</v>
      </c>
      <c r="T118" s="45" t="s">
        <v>260</v>
      </c>
      <c r="U118" s="47" t="s">
        <v>43</v>
      </c>
      <c r="V118" s="38"/>
      <c r="W118" s="46"/>
      <c r="X118" s="44"/>
      <c r="Y118" s="43"/>
      <c r="Z118" s="44"/>
      <c r="AA118" s="44"/>
      <c r="AB118" s="44"/>
      <c r="AC118" s="44"/>
      <c r="AD118" s="44"/>
      <c r="AE118" s="44"/>
      <c r="AF118" s="44"/>
      <c r="AG118" s="44"/>
      <c r="AH118" s="37" t="s">
        <v>199</v>
      </c>
      <c r="AI118" s="42" t="s">
        <v>101</v>
      </c>
      <c r="AJ118" s="52" t="s">
        <v>242</v>
      </c>
      <c r="AK118" s="145" t="str">
        <f t="shared" si="33"/>
        <v>Grit G-40S LINGUA INGLESA</v>
      </c>
      <c r="AL118" s="140" t="s">
        <v>291</v>
      </c>
      <c r="AM118" s="141" t="str">
        <f t="shared" si="35"/>
        <v>3 Malhas</v>
      </c>
      <c r="AN118" s="141" t="str">
        <f t="shared" si="34"/>
        <v>Grit 3 Malhas</v>
      </c>
      <c r="AO118" s="10"/>
      <c r="AS118" s="237"/>
      <c r="AT118" s="237"/>
      <c r="AU118" s="237"/>
      <c r="AV118" s="237"/>
      <c r="AW118" s="237"/>
      <c r="AX118" s="237"/>
      <c r="AY118" s="237"/>
      <c r="AZ118" s="237"/>
      <c r="BA118" s="237"/>
      <c r="BB118" s="237"/>
      <c r="BC118" s="237"/>
      <c r="BD118" s="237"/>
      <c r="BE118" s="237"/>
      <c r="BF118" s="237"/>
      <c r="BG118" s="10"/>
      <c r="BH118" s="10"/>
      <c r="BJ118" s="36"/>
    </row>
    <row r="119" spans="1:62" ht="15.75" x14ac:dyDescent="0.25">
      <c r="A119" s="36" t="s">
        <v>60</v>
      </c>
      <c r="B119" s="37" t="s">
        <v>100</v>
      </c>
      <c r="C119" s="37" t="str">
        <f t="shared" si="32"/>
        <v>Grit G-50S LINGUA INGLESA</v>
      </c>
      <c r="D119" s="37" t="s">
        <v>220</v>
      </c>
      <c r="E119" s="37" t="s">
        <v>222</v>
      </c>
      <c r="F119" s="37" t="s">
        <v>223</v>
      </c>
      <c r="G119" s="37" t="s">
        <v>225</v>
      </c>
      <c r="H119" s="37" t="s">
        <v>227</v>
      </c>
      <c r="I119" s="37" t="s">
        <v>229</v>
      </c>
      <c r="J119" s="37" t="s">
        <v>230</v>
      </c>
      <c r="K119" s="37" t="s">
        <v>239</v>
      </c>
      <c r="L119" s="37" t="s">
        <v>152</v>
      </c>
      <c r="M119" s="38">
        <v>25</v>
      </c>
      <c r="N119" s="45" t="s">
        <v>259</v>
      </c>
      <c r="O119" s="40" t="s">
        <v>156</v>
      </c>
      <c r="P119" s="38">
        <v>50</v>
      </c>
      <c r="Q119" s="45" t="s">
        <v>260</v>
      </c>
      <c r="R119" s="47" t="s">
        <v>111</v>
      </c>
      <c r="S119" s="38">
        <v>80</v>
      </c>
      <c r="T119" s="45" t="s">
        <v>261</v>
      </c>
      <c r="U119" s="47" t="s">
        <v>112</v>
      </c>
      <c r="V119" s="38"/>
      <c r="W119" s="46"/>
      <c r="X119" s="44"/>
      <c r="Y119" s="43"/>
      <c r="Z119" s="44"/>
      <c r="AA119" s="44"/>
      <c r="AB119" s="44"/>
      <c r="AC119" s="44"/>
      <c r="AD119" s="44"/>
      <c r="AE119" s="44"/>
      <c r="AF119" s="44"/>
      <c r="AG119" s="44"/>
      <c r="AH119" s="37" t="s">
        <v>199</v>
      </c>
      <c r="AI119" s="42" t="s">
        <v>101</v>
      </c>
      <c r="AJ119" s="52" t="s">
        <v>242</v>
      </c>
      <c r="AK119" s="145" t="str">
        <f t="shared" si="33"/>
        <v>Grit G-50S LINGUA INGLESA</v>
      </c>
      <c r="AL119" s="140" t="s">
        <v>291</v>
      </c>
      <c r="AM119" s="141" t="str">
        <f t="shared" si="35"/>
        <v>3 Malhas</v>
      </c>
      <c r="AN119" s="141" t="str">
        <f t="shared" si="34"/>
        <v>Grit 3 Malhas</v>
      </c>
      <c r="AO119" s="10"/>
      <c r="BJ119" s="36"/>
    </row>
    <row r="120" spans="1:62" ht="15.75" x14ac:dyDescent="0.25">
      <c r="A120" s="36" t="s">
        <v>61</v>
      </c>
      <c r="B120" s="37" t="s">
        <v>100</v>
      </c>
      <c r="C120" s="37" t="str">
        <f t="shared" si="32"/>
        <v>Grit G-80S LINGUA INGLESA</v>
      </c>
      <c r="D120" s="37" t="s">
        <v>220</v>
      </c>
      <c r="E120" s="37" t="s">
        <v>222</v>
      </c>
      <c r="F120" s="37" t="s">
        <v>223</v>
      </c>
      <c r="G120" s="37" t="s">
        <v>225</v>
      </c>
      <c r="H120" s="37" t="s">
        <v>227</v>
      </c>
      <c r="I120" s="37" t="s">
        <v>229</v>
      </c>
      <c r="J120" s="37" t="s">
        <v>230</v>
      </c>
      <c r="K120" s="37" t="s">
        <v>239</v>
      </c>
      <c r="L120" s="37" t="s">
        <v>152</v>
      </c>
      <c r="M120" s="38">
        <v>40</v>
      </c>
      <c r="N120" s="45" t="s">
        <v>246</v>
      </c>
      <c r="O120" s="40" t="s">
        <v>156</v>
      </c>
      <c r="P120" s="38">
        <v>80</v>
      </c>
      <c r="Q120" s="45" t="s">
        <v>261</v>
      </c>
      <c r="R120" s="47" t="s">
        <v>111</v>
      </c>
      <c r="S120" s="38">
        <v>120</v>
      </c>
      <c r="T120" s="45" t="s">
        <v>262</v>
      </c>
      <c r="U120" s="47" t="s">
        <v>112</v>
      </c>
      <c r="V120" s="38"/>
      <c r="W120" s="46"/>
      <c r="X120" s="44"/>
      <c r="Y120" s="43"/>
      <c r="Z120" s="44"/>
      <c r="AA120" s="44"/>
      <c r="AB120" s="44"/>
      <c r="AC120" s="44"/>
      <c r="AD120" s="44"/>
      <c r="AE120" s="44"/>
      <c r="AF120" s="44"/>
      <c r="AG120" s="44"/>
      <c r="AH120" s="37" t="s">
        <v>199</v>
      </c>
      <c r="AI120" s="42" t="s">
        <v>101</v>
      </c>
      <c r="AJ120" s="52" t="s">
        <v>242</v>
      </c>
      <c r="AK120" s="145" t="str">
        <f t="shared" si="33"/>
        <v>Grit G-80S LINGUA INGLESA</v>
      </c>
      <c r="AL120" s="140" t="s">
        <v>291</v>
      </c>
      <c r="AM120" s="141" t="str">
        <f t="shared" si="35"/>
        <v>3 Malhas</v>
      </c>
      <c r="AN120" s="141" t="str">
        <f t="shared" si="34"/>
        <v>Grit 3 Malhas</v>
      </c>
      <c r="AO120" s="10"/>
      <c r="AT120" s="184"/>
      <c r="AV120" s="184"/>
      <c r="BJ120" s="36"/>
    </row>
    <row r="121" spans="1:62" ht="15.75" x14ac:dyDescent="0.25">
      <c r="A121" s="36" t="s">
        <v>62</v>
      </c>
      <c r="B121" s="37" t="s">
        <v>100</v>
      </c>
      <c r="C121" s="37" t="str">
        <f t="shared" si="32"/>
        <v>Grit G-120S LINGUA INGLESA</v>
      </c>
      <c r="D121" s="37" t="s">
        <v>220</v>
      </c>
      <c r="E121" s="37" t="s">
        <v>222</v>
      </c>
      <c r="F121" s="37" t="s">
        <v>223</v>
      </c>
      <c r="G121" s="37" t="s">
        <v>225</v>
      </c>
      <c r="H121" s="37" t="s">
        <v>227</v>
      </c>
      <c r="I121" s="37" t="s">
        <v>229</v>
      </c>
      <c r="J121" s="37" t="s">
        <v>230</v>
      </c>
      <c r="K121" s="37" t="s">
        <v>239</v>
      </c>
      <c r="L121" s="37" t="s">
        <v>152</v>
      </c>
      <c r="M121" s="38">
        <v>50</v>
      </c>
      <c r="N121" s="45" t="s">
        <v>260</v>
      </c>
      <c r="O121" s="40" t="s">
        <v>156</v>
      </c>
      <c r="P121" s="38">
        <v>120</v>
      </c>
      <c r="Q121" s="45" t="s">
        <v>262</v>
      </c>
      <c r="R121" s="47" t="s">
        <v>113</v>
      </c>
      <c r="S121" s="38">
        <v>200</v>
      </c>
      <c r="T121" s="45" t="s">
        <v>265</v>
      </c>
      <c r="U121" s="47" t="s">
        <v>110</v>
      </c>
      <c r="V121" s="38"/>
      <c r="W121" s="46"/>
      <c r="X121" s="44"/>
      <c r="Y121" s="43"/>
      <c r="Z121" s="44"/>
      <c r="AA121" s="44"/>
      <c r="AB121" s="44"/>
      <c r="AC121" s="44"/>
      <c r="AD121" s="44"/>
      <c r="AE121" s="44"/>
      <c r="AF121" s="44"/>
      <c r="AG121" s="44"/>
      <c r="AH121" s="37" t="s">
        <v>199</v>
      </c>
      <c r="AI121" s="42" t="s">
        <v>101</v>
      </c>
      <c r="AJ121" s="52" t="s">
        <v>242</v>
      </c>
      <c r="AK121" s="145" t="str">
        <f t="shared" si="33"/>
        <v>Grit G-120S LINGUA INGLESA</v>
      </c>
      <c r="AL121" s="140" t="s">
        <v>291</v>
      </c>
      <c r="AM121" s="141" t="str">
        <f t="shared" si="35"/>
        <v>3 Malhas</v>
      </c>
      <c r="AN121" s="141" t="str">
        <f t="shared" si="34"/>
        <v>Grit 3 Malhas</v>
      </c>
      <c r="AO121" s="10"/>
      <c r="BJ121" s="36"/>
    </row>
    <row r="122" spans="1:62" ht="15.75" x14ac:dyDescent="0.25">
      <c r="A122" s="36" t="s">
        <v>63</v>
      </c>
      <c r="B122" s="37" t="s">
        <v>100</v>
      </c>
      <c r="C122" s="37" t="str">
        <f t="shared" si="32"/>
        <v>Grit G-14M LINGUA INGLESA</v>
      </c>
      <c r="D122" s="37" t="s">
        <v>220</v>
      </c>
      <c r="E122" s="37" t="s">
        <v>222</v>
      </c>
      <c r="F122" s="37" t="s">
        <v>223</v>
      </c>
      <c r="G122" s="37" t="s">
        <v>225</v>
      </c>
      <c r="H122" s="37" t="s">
        <v>227</v>
      </c>
      <c r="I122" s="37" t="s">
        <v>229</v>
      </c>
      <c r="J122" s="37" t="s">
        <v>230</v>
      </c>
      <c r="K122" s="37" t="s">
        <v>239</v>
      </c>
      <c r="L122" s="37" t="s">
        <v>153</v>
      </c>
      <c r="M122" s="38">
        <v>10</v>
      </c>
      <c r="N122" s="124" t="s">
        <v>253</v>
      </c>
      <c r="O122" s="40" t="s">
        <v>156</v>
      </c>
      <c r="P122" s="38">
        <v>14</v>
      </c>
      <c r="Q122" s="124" t="s">
        <v>251</v>
      </c>
      <c r="R122" s="47" t="s">
        <v>43</v>
      </c>
      <c r="S122" s="38">
        <v>16</v>
      </c>
      <c r="T122" s="124" t="s">
        <v>250</v>
      </c>
      <c r="U122" s="47" t="s">
        <v>107</v>
      </c>
      <c r="V122" s="38"/>
      <c r="W122" s="46"/>
      <c r="X122" s="44"/>
      <c r="Y122" s="43"/>
      <c r="Z122" s="44"/>
      <c r="AA122" s="44"/>
      <c r="AB122" s="44"/>
      <c r="AC122" s="44"/>
      <c r="AD122" s="44"/>
      <c r="AE122" s="44"/>
      <c r="AF122" s="44"/>
      <c r="AG122" s="44"/>
      <c r="AH122" s="37" t="s">
        <v>199</v>
      </c>
      <c r="AI122" s="42" t="s">
        <v>101</v>
      </c>
      <c r="AJ122" s="52" t="s">
        <v>242</v>
      </c>
      <c r="AK122" s="145" t="str">
        <f t="shared" si="33"/>
        <v>Grit G-14M LINGUA INGLESA</v>
      </c>
      <c r="AL122" s="140" t="s">
        <v>291</v>
      </c>
      <c r="AM122" s="141" t="str">
        <f t="shared" si="35"/>
        <v>3 Malhas</v>
      </c>
      <c r="AN122" s="141" t="str">
        <f t="shared" si="34"/>
        <v>Grit 3 Malhas</v>
      </c>
      <c r="AO122" s="10"/>
      <c r="BJ122" s="36"/>
    </row>
    <row r="123" spans="1:62" ht="15.75" x14ac:dyDescent="0.25">
      <c r="A123" s="36" t="s">
        <v>64</v>
      </c>
      <c r="B123" s="37" t="s">
        <v>100</v>
      </c>
      <c r="C123" s="37" t="str">
        <f t="shared" si="32"/>
        <v>Grit G-16M LINGUA INGLESA</v>
      </c>
      <c r="D123" s="37" t="s">
        <v>220</v>
      </c>
      <c r="E123" s="37" t="s">
        <v>222</v>
      </c>
      <c r="F123" s="37" t="s">
        <v>223</v>
      </c>
      <c r="G123" s="37" t="s">
        <v>225</v>
      </c>
      <c r="H123" s="37" t="s">
        <v>227</v>
      </c>
      <c r="I123" s="37" t="s">
        <v>229</v>
      </c>
      <c r="J123" s="37" t="s">
        <v>230</v>
      </c>
      <c r="K123" s="37" t="s">
        <v>239</v>
      </c>
      <c r="L123" s="37" t="s">
        <v>153</v>
      </c>
      <c r="M123" s="38">
        <v>12</v>
      </c>
      <c r="N123" s="124" t="s">
        <v>252</v>
      </c>
      <c r="O123" s="40" t="s">
        <v>156</v>
      </c>
      <c r="P123" s="38">
        <v>16</v>
      </c>
      <c r="Q123" s="124" t="s">
        <v>250</v>
      </c>
      <c r="R123" s="47" t="s">
        <v>108</v>
      </c>
      <c r="S123" s="38">
        <v>18</v>
      </c>
      <c r="T123" s="124" t="s">
        <v>249</v>
      </c>
      <c r="U123" s="47" t="s">
        <v>103</v>
      </c>
      <c r="V123" s="38"/>
      <c r="W123" s="46"/>
      <c r="X123" s="44"/>
      <c r="Y123" s="43"/>
      <c r="Z123" s="44"/>
      <c r="AA123" s="44"/>
      <c r="AB123" s="44"/>
      <c r="AC123" s="44"/>
      <c r="AD123" s="44"/>
      <c r="AE123" s="44"/>
      <c r="AF123" s="44"/>
      <c r="AG123" s="44"/>
      <c r="AH123" s="37" t="s">
        <v>199</v>
      </c>
      <c r="AI123" s="42" t="s">
        <v>101</v>
      </c>
      <c r="AJ123" s="52" t="s">
        <v>242</v>
      </c>
      <c r="AK123" s="145" t="str">
        <f t="shared" si="33"/>
        <v>Grit G-16M LINGUA INGLESA</v>
      </c>
      <c r="AL123" s="140" t="s">
        <v>291</v>
      </c>
      <c r="AM123" s="141" t="str">
        <f t="shared" si="35"/>
        <v>3 Malhas</v>
      </c>
      <c r="AN123" s="141" t="str">
        <f t="shared" si="34"/>
        <v>Grit 3 Malhas</v>
      </c>
      <c r="AO123" s="10"/>
      <c r="AX123" s="185"/>
      <c r="AZ123" s="185"/>
      <c r="BB123" s="185"/>
      <c r="BJ123" s="36"/>
    </row>
    <row r="124" spans="1:62" ht="15.75" x14ac:dyDescent="0.25">
      <c r="A124" s="36" t="s">
        <v>65</v>
      </c>
      <c r="B124" s="37" t="s">
        <v>100</v>
      </c>
      <c r="C124" s="37" t="str">
        <f t="shared" si="32"/>
        <v>Grit G-18M LINGUA INGLESA</v>
      </c>
      <c r="D124" s="37" t="s">
        <v>220</v>
      </c>
      <c r="E124" s="37" t="s">
        <v>222</v>
      </c>
      <c r="F124" s="37" t="s">
        <v>223</v>
      </c>
      <c r="G124" s="37" t="s">
        <v>225</v>
      </c>
      <c r="H124" s="37" t="s">
        <v>227</v>
      </c>
      <c r="I124" s="37" t="s">
        <v>229</v>
      </c>
      <c r="J124" s="37" t="s">
        <v>230</v>
      </c>
      <c r="K124" s="37" t="s">
        <v>239</v>
      </c>
      <c r="L124" s="37" t="s">
        <v>153</v>
      </c>
      <c r="M124" s="38">
        <v>14</v>
      </c>
      <c r="N124" s="124" t="s">
        <v>251</v>
      </c>
      <c r="O124" s="40" t="s">
        <v>156</v>
      </c>
      <c r="P124" s="38">
        <v>18</v>
      </c>
      <c r="Q124" s="124" t="s">
        <v>249</v>
      </c>
      <c r="R124" s="47" t="s">
        <v>108</v>
      </c>
      <c r="S124" s="38">
        <v>25</v>
      </c>
      <c r="T124" s="45" t="s">
        <v>259</v>
      </c>
      <c r="U124" s="47" t="s">
        <v>103</v>
      </c>
      <c r="V124" s="38"/>
      <c r="W124" s="46"/>
      <c r="X124" s="44"/>
      <c r="Y124" s="43"/>
      <c r="Z124" s="44"/>
      <c r="AA124" s="44"/>
      <c r="AB124" s="44"/>
      <c r="AC124" s="44"/>
      <c r="AD124" s="44"/>
      <c r="AE124" s="44"/>
      <c r="AF124" s="44"/>
      <c r="AG124" s="44"/>
      <c r="AH124" s="37" t="s">
        <v>199</v>
      </c>
      <c r="AI124" s="42" t="s">
        <v>101</v>
      </c>
      <c r="AJ124" s="52" t="s">
        <v>242</v>
      </c>
      <c r="AK124" s="145" t="str">
        <f t="shared" si="33"/>
        <v>Grit G-18M LINGUA INGLESA</v>
      </c>
      <c r="AL124" s="140" t="s">
        <v>291</v>
      </c>
      <c r="AM124" s="141" t="str">
        <f t="shared" si="35"/>
        <v>3 Malhas</v>
      </c>
      <c r="AN124" s="141" t="str">
        <f t="shared" si="34"/>
        <v>Grit 3 Malhas</v>
      </c>
      <c r="AO124" s="10"/>
      <c r="BJ124" s="36"/>
    </row>
    <row r="125" spans="1:62" ht="15.75" x14ac:dyDescent="0.25">
      <c r="A125" s="36" t="s">
        <v>66</v>
      </c>
      <c r="B125" s="37" t="s">
        <v>100</v>
      </c>
      <c r="C125" s="37" t="str">
        <f t="shared" si="32"/>
        <v>Grit G-25M LINGUA INGLESA</v>
      </c>
      <c r="D125" s="37" t="s">
        <v>220</v>
      </c>
      <c r="E125" s="37" t="s">
        <v>222</v>
      </c>
      <c r="F125" s="37" t="s">
        <v>223</v>
      </c>
      <c r="G125" s="37" t="s">
        <v>225</v>
      </c>
      <c r="H125" s="37" t="s">
        <v>227</v>
      </c>
      <c r="I125" s="37" t="s">
        <v>229</v>
      </c>
      <c r="J125" s="37" t="s">
        <v>230</v>
      </c>
      <c r="K125" s="37" t="s">
        <v>239</v>
      </c>
      <c r="L125" s="37" t="s">
        <v>153</v>
      </c>
      <c r="M125" s="38">
        <v>16</v>
      </c>
      <c r="N125" s="124" t="s">
        <v>250</v>
      </c>
      <c r="O125" s="40" t="s">
        <v>156</v>
      </c>
      <c r="P125" s="38">
        <v>25</v>
      </c>
      <c r="Q125" s="45" t="s">
        <v>259</v>
      </c>
      <c r="R125" s="47" t="s">
        <v>109</v>
      </c>
      <c r="S125" s="38">
        <v>40</v>
      </c>
      <c r="T125" s="45" t="s">
        <v>246</v>
      </c>
      <c r="U125" s="47" t="s">
        <v>43</v>
      </c>
      <c r="V125" s="38"/>
      <c r="W125" s="46"/>
      <c r="X125" s="44"/>
      <c r="Y125" s="43"/>
      <c r="Z125" s="44"/>
      <c r="AA125" s="44"/>
      <c r="AB125" s="44"/>
      <c r="AC125" s="44"/>
      <c r="AD125" s="44"/>
      <c r="AE125" s="44"/>
      <c r="AF125" s="44"/>
      <c r="AG125" s="44"/>
      <c r="AH125" s="37" t="s">
        <v>199</v>
      </c>
      <c r="AI125" s="42" t="s">
        <v>101</v>
      </c>
      <c r="AJ125" s="52" t="s">
        <v>242</v>
      </c>
      <c r="AK125" s="145" t="str">
        <f t="shared" si="33"/>
        <v>Grit G-25M LINGUA INGLESA</v>
      </c>
      <c r="AL125" s="140" t="s">
        <v>291</v>
      </c>
      <c r="AM125" s="141" t="str">
        <f t="shared" si="35"/>
        <v>3 Malhas</v>
      </c>
      <c r="AN125" s="141" t="str">
        <f t="shared" si="34"/>
        <v>Grit 3 Malhas</v>
      </c>
      <c r="AO125" s="10"/>
      <c r="BJ125" s="36"/>
    </row>
    <row r="126" spans="1:62" ht="15.75" x14ac:dyDescent="0.25">
      <c r="A126" s="36" t="s">
        <v>67</v>
      </c>
      <c r="B126" s="37" t="s">
        <v>100</v>
      </c>
      <c r="C126" s="37" t="str">
        <f t="shared" si="32"/>
        <v>Grit G-40M LINGUA INGLESA</v>
      </c>
      <c r="D126" s="37" t="s">
        <v>220</v>
      </c>
      <c r="E126" s="37" t="s">
        <v>222</v>
      </c>
      <c r="F126" s="37" t="s">
        <v>223</v>
      </c>
      <c r="G126" s="37" t="s">
        <v>225</v>
      </c>
      <c r="H126" s="37" t="s">
        <v>227</v>
      </c>
      <c r="I126" s="37" t="s">
        <v>229</v>
      </c>
      <c r="J126" s="37" t="s">
        <v>230</v>
      </c>
      <c r="K126" s="37" t="s">
        <v>239</v>
      </c>
      <c r="L126" s="37" t="s">
        <v>153</v>
      </c>
      <c r="M126" s="38">
        <v>18</v>
      </c>
      <c r="N126" s="124" t="s">
        <v>249</v>
      </c>
      <c r="O126" s="40" t="s">
        <v>156</v>
      </c>
      <c r="P126" s="38">
        <v>40</v>
      </c>
      <c r="Q126" s="45" t="s">
        <v>246</v>
      </c>
      <c r="R126" s="47" t="s">
        <v>110</v>
      </c>
      <c r="S126" s="38">
        <v>50</v>
      </c>
      <c r="T126" s="45" t="s">
        <v>260</v>
      </c>
      <c r="U126" s="47" t="s">
        <v>43</v>
      </c>
      <c r="V126" s="38"/>
      <c r="W126" s="46"/>
      <c r="X126" s="44"/>
      <c r="Y126" s="43"/>
      <c r="Z126" s="44"/>
      <c r="AA126" s="44"/>
      <c r="AB126" s="44"/>
      <c r="AC126" s="44"/>
      <c r="AD126" s="44"/>
      <c r="AE126" s="44"/>
      <c r="AF126" s="44"/>
      <c r="AG126" s="44"/>
      <c r="AH126" s="37" t="s">
        <v>199</v>
      </c>
      <c r="AI126" s="42" t="s">
        <v>101</v>
      </c>
      <c r="AJ126" s="52" t="s">
        <v>242</v>
      </c>
      <c r="AK126" s="145" t="str">
        <f t="shared" si="33"/>
        <v>Grit G-40M LINGUA INGLESA</v>
      </c>
      <c r="AL126" s="140" t="s">
        <v>291</v>
      </c>
      <c r="AM126" s="141" t="str">
        <f t="shared" si="35"/>
        <v>3 Malhas</v>
      </c>
      <c r="AN126" s="141" t="str">
        <f t="shared" si="34"/>
        <v>Grit 3 Malhas</v>
      </c>
      <c r="AO126" s="10"/>
      <c r="BJ126" s="36"/>
    </row>
    <row r="127" spans="1:62" ht="15.75" x14ac:dyDescent="0.25">
      <c r="A127" s="36" t="s">
        <v>68</v>
      </c>
      <c r="B127" s="37" t="s">
        <v>100</v>
      </c>
      <c r="C127" s="37" t="str">
        <f t="shared" si="32"/>
        <v>Grit G-50M LINGUA INGLESA</v>
      </c>
      <c r="D127" s="37" t="s">
        <v>220</v>
      </c>
      <c r="E127" s="37" t="s">
        <v>222</v>
      </c>
      <c r="F127" s="37" t="s">
        <v>223</v>
      </c>
      <c r="G127" s="37" t="s">
        <v>225</v>
      </c>
      <c r="H127" s="37" t="s">
        <v>227</v>
      </c>
      <c r="I127" s="37" t="s">
        <v>229</v>
      </c>
      <c r="J127" s="37" t="s">
        <v>230</v>
      </c>
      <c r="K127" s="37" t="s">
        <v>239</v>
      </c>
      <c r="L127" s="37" t="s">
        <v>153</v>
      </c>
      <c r="M127" s="38">
        <v>25</v>
      </c>
      <c r="N127" s="45" t="s">
        <v>259</v>
      </c>
      <c r="O127" s="40" t="s">
        <v>156</v>
      </c>
      <c r="P127" s="38">
        <v>50</v>
      </c>
      <c r="Q127" s="45" t="s">
        <v>260</v>
      </c>
      <c r="R127" s="47" t="s">
        <v>111</v>
      </c>
      <c r="S127" s="38">
        <v>80</v>
      </c>
      <c r="T127" s="45" t="s">
        <v>261</v>
      </c>
      <c r="U127" s="47" t="s">
        <v>112</v>
      </c>
      <c r="V127" s="38"/>
      <c r="W127" s="46"/>
      <c r="X127" s="44"/>
      <c r="Y127" s="43"/>
      <c r="Z127" s="44"/>
      <c r="AA127" s="44"/>
      <c r="AB127" s="44"/>
      <c r="AC127" s="44"/>
      <c r="AD127" s="44"/>
      <c r="AE127" s="44"/>
      <c r="AF127" s="44"/>
      <c r="AG127" s="44"/>
      <c r="AH127" s="37" t="s">
        <v>199</v>
      </c>
      <c r="AI127" s="42" t="s">
        <v>101</v>
      </c>
      <c r="AJ127" s="52" t="s">
        <v>242</v>
      </c>
      <c r="AK127" s="145" t="str">
        <f t="shared" si="33"/>
        <v>Grit G-50M LINGUA INGLESA</v>
      </c>
      <c r="AL127" s="140" t="s">
        <v>291</v>
      </c>
      <c r="AM127" s="141" t="str">
        <f t="shared" si="35"/>
        <v>3 Malhas</v>
      </c>
      <c r="AN127" s="141" t="str">
        <f t="shared" si="34"/>
        <v>Grit 3 Malhas</v>
      </c>
      <c r="AO127" s="10"/>
      <c r="BJ127" s="36"/>
    </row>
    <row r="128" spans="1:62" ht="15.75" x14ac:dyDescent="0.25">
      <c r="A128" s="36" t="s">
        <v>69</v>
      </c>
      <c r="B128" s="37" t="s">
        <v>100</v>
      </c>
      <c r="C128" s="37" t="str">
        <f t="shared" si="32"/>
        <v>Grit G-80M LINGUA INGLESA</v>
      </c>
      <c r="D128" s="37" t="s">
        <v>220</v>
      </c>
      <c r="E128" s="37" t="s">
        <v>222</v>
      </c>
      <c r="F128" s="37" t="s">
        <v>223</v>
      </c>
      <c r="G128" s="37" t="s">
        <v>225</v>
      </c>
      <c r="H128" s="37" t="s">
        <v>227</v>
      </c>
      <c r="I128" s="37" t="s">
        <v>229</v>
      </c>
      <c r="J128" s="37" t="s">
        <v>230</v>
      </c>
      <c r="K128" s="37" t="s">
        <v>239</v>
      </c>
      <c r="L128" s="37" t="s">
        <v>153</v>
      </c>
      <c r="M128" s="38">
        <v>40</v>
      </c>
      <c r="N128" s="45" t="s">
        <v>246</v>
      </c>
      <c r="O128" s="40" t="s">
        <v>156</v>
      </c>
      <c r="P128" s="38">
        <v>80</v>
      </c>
      <c r="Q128" s="45" t="s">
        <v>261</v>
      </c>
      <c r="R128" s="47" t="s">
        <v>111</v>
      </c>
      <c r="S128" s="38">
        <v>120</v>
      </c>
      <c r="T128" s="45" t="s">
        <v>262</v>
      </c>
      <c r="U128" s="47" t="s">
        <v>112</v>
      </c>
      <c r="V128" s="38"/>
      <c r="W128" s="46"/>
      <c r="X128" s="44"/>
      <c r="Y128" s="43"/>
      <c r="Z128" s="44"/>
      <c r="AA128" s="44"/>
      <c r="AB128" s="44"/>
      <c r="AC128" s="44"/>
      <c r="AD128" s="44"/>
      <c r="AE128" s="44"/>
      <c r="AF128" s="44"/>
      <c r="AG128" s="44"/>
      <c r="AH128" s="37" t="s">
        <v>199</v>
      </c>
      <c r="AI128" s="42" t="s">
        <v>101</v>
      </c>
      <c r="AJ128" s="52" t="s">
        <v>242</v>
      </c>
      <c r="AK128" s="145" t="str">
        <f t="shared" si="33"/>
        <v>Grit G-80M LINGUA INGLESA</v>
      </c>
      <c r="AL128" s="140" t="s">
        <v>291</v>
      </c>
      <c r="AM128" s="141" t="str">
        <f t="shared" si="35"/>
        <v>3 Malhas</v>
      </c>
      <c r="AN128" s="141" t="str">
        <f t="shared" si="34"/>
        <v>Grit 3 Malhas</v>
      </c>
      <c r="AO128" s="10"/>
      <c r="BJ128" s="36"/>
    </row>
    <row r="129" spans="1:62" ht="15.75" x14ac:dyDescent="0.25">
      <c r="A129" s="36" t="s">
        <v>70</v>
      </c>
      <c r="B129" s="37" t="s">
        <v>100</v>
      </c>
      <c r="C129" s="37" t="str">
        <f t="shared" si="32"/>
        <v>Grit G-120M LINGUA INGLESA</v>
      </c>
      <c r="D129" s="37" t="s">
        <v>220</v>
      </c>
      <c r="E129" s="37" t="s">
        <v>222</v>
      </c>
      <c r="F129" s="37" t="s">
        <v>223</v>
      </c>
      <c r="G129" s="37" t="s">
        <v>225</v>
      </c>
      <c r="H129" s="37" t="s">
        <v>227</v>
      </c>
      <c r="I129" s="37" t="s">
        <v>229</v>
      </c>
      <c r="J129" s="37" t="s">
        <v>230</v>
      </c>
      <c r="K129" s="37" t="s">
        <v>239</v>
      </c>
      <c r="L129" s="37" t="s">
        <v>153</v>
      </c>
      <c r="M129" s="38">
        <v>50</v>
      </c>
      <c r="N129" s="45" t="s">
        <v>260</v>
      </c>
      <c r="O129" s="40" t="s">
        <v>156</v>
      </c>
      <c r="P129" s="38">
        <v>120</v>
      </c>
      <c r="Q129" s="45" t="s">
        <v>262</v>
      </c>
      <c r="R129" s="47" t="s">
        <v>113</v>
      </c>
      <c r="S129" s="38">
        <v>200</v>
      </c>
      <c r="T129" s="45" t="s">
        <v>265</v>
      </c>
      <c r="U129" s="47" t="s">
        <v>110</v>
      </c>
      <c r="V129" s="38"/>
      <c r="W129" s="46"/>
      <c r="X129" s="44"/>
      <c r="Y129" s="43"/>
      <c r="Z129" s="44"/>
      <c r="AA129" s="44"/>
      <c r="AB129" s="44"/>
      <c r="AC129" s="44"/>
      <c r="AD129" s="44"/>
      <c r="AE129" s="44"/>
      <c r="AF129" s="44"/>
      <c r="AG129" s="44"/>
      <c r="AH129" s="37" t="s">
        <v>199</v>
      </c>
      <c r="AI129" s="42" t="s">
        <v>101</v>
      </c>
      <c r="AJ129" s="52" t="s">
        <v>242</v>
      </c>
      <c r="AK129" s="145" t="str">
        <f t="shared" si="33"/>
        <v>Grit G-120M LINGUA INGLESA</v>
      </c>
      <c r="AL129" s="140" t="s">
        <v>291</v>
      </c>
      <c r="AM129" s="141" t="str">
        <f t="shared" si="35"/>
        <v>3 Malhas</v>
      </c>
      <c r="AN129" s="141" t="str">
        <f t="shared" si="34"/>
        <v>Grit 3 Malhas</v>
      </c>
      <c r="AO129" s="10"/>
      <c r="BJ129" s="36"/>
    </row>
    <row r="130" spans="1:62" ht="15.75" x14ac:dyDescent="0.25">
      <c r="A130" s="36" t="s">
        <v>71</v>
      </c>
      <c r="B130" s="37" t="s">
        <v>100</v>
      </c>
      <c r="C130" s="37" t="str">
        <f t="shared" si="32"/>
        <v>Grit G-14L LINGUA INGLESA</v>
      </c>
      <c r="D130" s="37" t="s">
        <v>220</v>
      </c>
      <c r="E130" s="37" t="s">
        <v>222</v>
      </c>
      <c r="F130" s="37" t="s">
        <v>223</v>
      </c>
      <c r="G130" s="37" t="s">
        <v>225</v>
      </c>
      <c r="H130" s="37" t="s">
        <v>227</v>
      </c>
      <c r="I130" s="37" t="s">
        <v>229</v>
      </c>
      <c r="J130" s="37" t="s">
        <v>230</v>
      </c>
      <c r="K130" s="37" t="s">
        <v>239</v>
      </c>
      <c r="L130" s="37" t="s">
        <v>154</v>
      </c>
      <c r="M130" s="38">
        <v>10</v>
      </c>
      <c r="N130" s="124" t="s">
        <v>253</v>
      </c>
      <c r="O130" s="40" t="s">
        <v>156</v>
      </c>
      <c r="P130" s="38">
        <v>14</v>
      </c>
      <c r="Q130" s="124" t="s">
        <v>251</v>
      </c>
      <c r="R130" s="47" t="s">
        <v>43</v>
      </c>
      <c r="S130" s="38">
        <v>16</v>
      </c>
      <c r="T130" s="124" t="s">
        <v>250</v>
      </c>
      <c r="U130" s="47" t="s">
        <v>107</v>
      </c>
      <c r="V130" s="38"/>
      <c r="W130" s="46"/>
      <c r="X130" s="44"/>
      <c r="Y130" s="43"/>
      <c r="Z130" s="44"/>
      <c r="AA130" s="44"/>
      <c r="AB130" s="44"/>
      <c r="AC130" s="44"/>
      <c r="AD130" s="44"/>
      <c r="AE130" s="44"/>
      <c r="AF130" s="44"/>
      <c r="AG130" s="44"/>
      <c r="AH130" s="37" t="s">
        <v>199</v>
      </c>
      <c r="AI130" s="42" t="s">
        <v>105</v>
      </c>
      <c r="AJ130" s="52" t="s">
        <v>242</v>
      </c>
      <c r="AK130" s="145" t="str">
        <f t="shared" ref="AK130:AK159" si="36">C130</f>
        <v>Grit G-14L LINGUA INGLESA</v>
      </c>
      <c r="AL130" s="140" t="s">
        <v>291</v>
      </c>
      <c r="AM130" s="141" t="str">
        <f t="shared" ref="AM130:AM145" si="37">IF(COUNTBLANK(M130:AG130)=15,"2 Malhas",IF(COUNTBLANK(M130:AG130)=12,"3 Malhas",IF(COUNTBLANK(M130:AG130)=9,"4 Malhas",IF(COUNTBLANK(M130:AG130)=6,"5 Malhas",IF(COUNTBLANK(M130:AG130)=3,"6 Malhas",IF(COUNTBLANK(M130:AG130)=0,"7 Malhas",))))))</f>
        <v>3 Malhas</v>
      </c>
      <c r="AN130" s="141" t="str">
        <f t="shared" ref="AN130:AN159" si="38">CONCATENATE(AL130," ",AM130)</f>
        <v>Grit 3 Malhas</v>
      </c>
      <c r="AO130" s="10"/>
      <c r="BJ130" s="36"/>
    </row>
    <row r="131" spans="1:62" ht="15.75" x14ac:dyDescent="0.25">
      <c r="A131" s="36" t="s">
        <v>72</v>
      </c>
      <c r="B131" s="37" t="s">
        <v>100</v>
      </c>
      <c r="C131" s="37" t="str">
        <f t="shared" si="32"/>
        <v>Grit G-16L LINGUA INGLESA</v>
      </c>
      <c r="D131" s="37" t="s">
        <v>220</v>
      </c>
      <c r="E131" s="37" t="s">
        <v>222</v>
      </c>
      <c r="F131" s="37" t="s">
        <v>223</v>
      </c>
      <c r="G131" s="37" t="s">
        <v>225</v>
      </c>
      <c r="H131" s="37" t="s">
        <v>227</v>
      </c>
      <c r="I131" s="37" t="s">
        <v>229</v>
      </c>
      <c r="J131" s="37" t="s">
        <v>230</v>
      </c>
      <c r="K131" s="37" t="s">
        <v>239</v>
      </c>
      <c r="L131" s="37" t="s">
        <v>154</v>
      </c>
      <c r="M131" s="38">
        <v>12</v>
      </c>
      <c r="N131" s="124" t="s">
        <v>252</v>
      </c>
      <c r="O131" s="40" t="s">
        <v>156</v>
      </c>
      <c r="P131" s="38">
        <v>16</v>
      </c>
      <c r="Q131" s="124" t="s">
        <v>250</v>
      </c>
      <c r="R131" s="47" t="s">
        <v>108</v>
      </c>
      <c r="S131" s="38">
        <v>18</v>
      </c>
      <c r="T131" s="124" t="s">
        <v>249</v>
      </c>
      <c r="U131" s="47" t="s">
        <v>103</v>
      </c>
      <c r="V131" s="38"/>
      <c r="W131" s="46"/>
      <c r="X131" s="44"/>
      <c r="Y131" s="43"/>
      <c r="Z131" s="44"/>
      <c r="AA131" s="44"/>
      <c r="AB131" s="44"/>
      <c r="AC131" s="44"/>
      <c r="AD131" s="44"/>
      <c r="AE131" s="44"/>
      <c r="AF131" s="44"/>
      <c r="AG131" s="44"/>
      <c r="AH131" s="37" t="s">
        <v>199</v>
      </c>
      <c r="AI131" s="42" t="s">
        <v>105</v>
      </c>
      <c r="AJ131" s="52" t="s">
        <v>242</v>
      </c>
      <c r="AK131" s="145" t="str">
        <f t="shared" si="36"/>
        <v>Grit G-16L LINGUA INGLESA</v>
      </c>
      <c r="AL131" s="140" t="s">
        <v>291</v>
      </c>
      <c r="AM131" s="141" t="str">
        <f t="shared" si="37"/>
        <v>3 Malhas</v>
      </c>
      <c r="AN131" s="141" t="str">
        <f t="shared" si="38"/>
        <v>Grit 3 Malhas</v>
      </c>
      <c r="AO131" s="10"/>
      <c r="BJ131" s="36"/>
    </row>
    <row r="132" spans="1:62" ht="15.75" x14ac:dyDescent="0.25">
      <c r="A132" s="36" t="s">
        <v>73</v>
      </c>
      <c r="B132" s="37" t="s">
        <v>100</v>
      </c>
      <c r="C132" s="37" t="str">
        <f t="shared" si="32"/>
        <v>Grit G-18L LINGUA INGLESA</v>
      </c>
      <c r="D132" s="37" t="s">
        <v>220</v>
      </c>
      <c r="E132" s="37" t="s">
        <v>222</v>
      </c>
      <c r="F132" s="37" t="s">
        <v>223</v>
      </c>
      <c r="G132" s="37" t="s">
        <v>225</v>
      </c>
      <c r="H132" s="37" t="s">
        <v>227</v>
      </c>
      <c r="I132" s="37" t="s">
        <v>229</v>
      </c>
      <c r="J132" s="37" t="s">
        <v>230</v>
      </c>
      <c r="K132" s="37" t="s">
        <v>239</v>
      </c>
      <c r="L132" s="37" t="s">
        <v>154</v>
      </c>
      <c r="M132" s="38">
        <v>14</v>
      </c>
      <c r="N132" s="124" t="s">
        <v>251</v>
      </c>
      <c r="O132" s="40" t="s">
        <v>156</v>
      </c>
      <c r="P132" s="38">
        <v>18</v>
      </c>
      <c r="Q132" s="124" t="s">
        <v>249</v>
      </c>
      <c r="R132" s="47" t="s">
        <v>108</v>
      </c>
      <c r="S132" s="38">
        <v>25</v>
      </c>
      <c r="T132" s="45" t="s">
        <v>259</v>
      </c>
      <c r="U132" s="47" t="s">
        <v>103</v>
      </c>
      <c r="V132" s="38"/>
      <c r="W132" s="46"/>
      <c r="X132" s="44"/>
      <c r="Y132" s="43"/>
      <c r="Z132" s="44"/>
      <c r="AA132" s="44"/>
      <c r="AB132" s="44"/>
      <c r="AC132" s="44"/>
      <c r="AD132" s="44"/>
      <c r="AE132" s="44"/>
      <c r="AF132" s="44"/>
      <c r="AG132" s="44"/>
      <c r="AH132" s="37" t="s">
        <v>199</v>
      </c>
      <c r="AI132" s="42" t="s">
        <v>105</v>
      </c>
      <c r="AJ132" s="52" t="s">
        <v>242</v>
      </c>
      <c r="AK132" s="145" t="str">
        <f t="shared" si="36"/>
        <v>Grit G-18L LINGUA INGLESA</v>
      </c>
      <c r="AL132" s="140" t="s">
        <v>291</v>
      </c>
      <c r="AM132" s="141" t="str">
        <f t="shared" si="37"/>
        <v>3 Malhas</v>
      </c>
      <c r="AN132" s="141" t="str">
        <f t="shared" si="38"/>
        <v>Grit 3 Malhas</v>
      </c>
      <c r="AO132" s="10"/>
      <c r="BJ132" s="36"/>
    </row>
    <row r="133" spans="1:62" ht="15.75" x14ac:dyDescent="0.25">
      <c r="A133" s="36" t="s">
        <v>74</v>
      </c>
      <c r="B133" s="37" t="s">
        <v>100</v>
      </c>
      <c r="C133" s="37" t="str">
        <f t="shared" si="32"/>
        <v>Grit G-25L LINGUA INGLESA</v>
      </c>
      <c r="D133" s="37" t="s">
        <v>220</v>
      </c>
      <c r="E133" s="37" t="s">
        <v>222</v>
      </c>
      <c r="F133" s="37" t="s">
        <v>223</v>
      </c>
      <c r="G133" s="37" t="s">
        <v>225</v>
      </c>
      <c r="H133" s="37" t="s">
        <v>227</v>
      </c>
      <c r="I133" s="37" t="s">
        <v>229</v>
      </c>
      <c r="J133" s="37" t="s">
        <v>230</v>
      </c>
      <c r="K133" s="37" t="s">
        <v>239</v>
      </c>
      <c r="L133" s="37" t="s">
        <v>154</v>
      </c>
      <c r="M133" s="38">
        <v>16</v>
      </c>
      <c r="N133" s="124" t="s">
        <v>250</v>
      </c>
      <c r="O133" s="40" t="s">
        <v>156</v>
      </c>
      <c r="P133" s="38">
        <v>25</v>
      </c>
      <c r="Q133" s="45" t="s">
        <v>259</v>
      </c>
      <c r="R133" s="47" t="s">
        <v>109</v>
      </c>
      <c r="S133" s="38">
        <v>40</v>
      </c>
      <c r="T133" s="45" t="s">
        <v>246</v>
      </c>
      <c r="U133" s="47" t="s">
        <v>43</v>
      </c>
      <c r="V133" s="38"/>
      <c r="W133" s="46"/>
      <c r="X133" s="44"/>
      <c r="Y133" s="43"/>
      <c r="Z133" s="44"/>
      <c r="AA133" s="44"/>
      <c r="AB133" s="44"/>
      <c r="AC133" s="44"/>
      <c r="AD133" s="44"/>
      <c r="AE133" s="44"/>
      <c r="AF133" s="44"/>
      <c r="AG133" s="44"/>
      <c r="AH133" s="37" t="s">
        <v>199</v>
      </c>
      <c r="AI133" s="42" t="s">
        <v>105</v>
      </c>
      <c r="AJ133" s="52" t="s">
        <v>242</v>
      </c>
      <c r="AK133" s="145" t="str">
        <f t="shared" si="36"/>
        <v>Grit G-25L LINGUA INGLESA</v>
      </c>
      <c r="AL133" s="140" t="s">
        <v>291</v>
      </c>
      <c r="AM133" s="141" t="str">
        <f t="shared" si="37"/>
        <v>3 Malhas</v>
      </c>
      <c r="AN133" s="141" t="str">
        <f t="shared" si="38"/>
        <v>Grit 3 Malhas</v>
      </c>
      <c r="AO133" s="10"/>
      <c r="BJ133" s="36"/>
    </row>
    <row r="134" spans="1:62" ht="15.75" x14ac:dyDescent="0.25">
      <c r="A134" s="36" t="s">
        <v>75</v>
      </c>
      <c r="B134" s="37" t="s">
        <v>100</v>
      </c>
      <c r="C134" s="37" t="str">
        <f t="shared" ref="C134:C145" si="39">CONCATENATE(A134," ",B134)</f>
        <v>Grit G-40L LINGUA INGLESA</v>
      </c>
      <c r="D134" s="37" t="s">
        <v>220</v>
      </c>
      <c r="E134" s="37" t="s">
        <v>222</v>
      </c>
      <c r="F134" s="37" t="s">
        <v>223</v>
      </c>
      <c r="G134" s="37" t="s">
        <v>225</v>
      </c>
      <c r="H134" s="37" t="s">
        <v>227</v>
      </c>
      <c r="I134" s="37" t="s">
        <v>229</v>
      </c>
      <c r="J134" s="37" t="s">
        <v>230</v>
      </c>
      <c r="K134" s="37" t="s">
        <v>239</v>
      </c>
      <c r="L134" s="37" t="s">
        <v>154</v>
      </c>
      <c r="M134" s="38">
        <v>18</v>
      </c>
      <c r="N134" s="124" t="s">
        <v>249</v>
      </c>
      <c r="O134" s="40" t="s">
        <v>156</v>
      </c>
      <c r="P134" s="38">
        <v>40</v>
      </c>
      <c r="Q134" s="45" t="s">
        <v>246</v>
      </c>
      <c r="R134" s="47" t="s">
        <v>110</v>
      </c>
      <c r="S134" s="38">
        <v>50</v>
      </c>
      <c r="T134" s="45" t="s">
        <v>260</v>
      </c>
      <c r="U134" s="47" t="s">
        <v>43</v>
      </c>
      <c r="V134" s="38"/>
      <c r="W134" s="46"/>
      <c r="X134" s="44"/>
      <c r="Y134" s="43"/>
      <c r="Z134" s="44"/>
      <c r="AA134" s="44"/>
      <c r="AB134" s="44"/>
      <c r="AC134" s="44"/>
      <c r="AD134" s="44"/>
      <c r="AE134" s="44"/>
      <c r="AF134" s="44"/>
      <c r="AG134" s="44"/>
      <c r="AH134" s="37" t="s">
        <v>199</v>
      </c>
      <c r="AI134" s="42" t="s">
        <v>105</v>
      </c>
      <c r="AJ134" s="52" t="s">
        <v>242</v>
      </c>
      <c r="AK134" s="145" t="str">
        <f t="shared" si="36"/>
        <v>Grit G-40L LINGUA INGLESA</v>
      </c>
      <c r="AL134" s="140" t="s">
        <v>291</v>
      </c>
      <c r="AM134" s="141" t="str">
        <f t="shared" si="37"/>
        <v>3 Malhas</v>
      </c>
      <c r="AN134" s="141" t="str">
        <f t="shared" si="38"/>
        <v>Grit 3 Malhas</v>
      </c>
      <c r="AO134" s="10"/>
      <c r="BJ134" s="36"/>
    </row>
    <row r="135" spans="1:62" ht="15.75" x14ac:dyDescent="0.25">
      <c r="A135" s="36" t="s">
        <v>76</v>
      </c>
      <c r="B135" s="37" t="s">
        <v>100</v>
      </c>
      <c r="C135" s="37" t="str">
        <f t="shared" si="39"/>
        <v>Grit G-50L LINGUA INGLESA</v>
      </c>
      <c r="D135" s="37" t="s">
        <v>220</v>
      </c>
      <c r="E135" s="37" t="s">
        <v>222</v>
      </c>
      <c r="F135" s="37" t="s">
        <v>223</v>
      </c>
      <c r="G135" s="37" t="s">
        <v>225</v>
      </c>
      <c r="H135" s="37" t="s">
        <v>227</v>
      </c>
      <c r="I135" s="37" t="s">
        <v>229</v>
      </c>
      <c r="J135" s="37" t="s">
        <v>230</v>
      </c>
      <c r="K135" s="37" t="s">
        <v>239</v>
      </c>
      <c r="L135" s="37" t="s">
        <v>154</v>
      </c>
      <c r="M135" s="38">
        <v>25</v>
      </c>
      <c r="N135" s="45" t="s">
        <v>259</v>
      </c>
      <c r="O135" s="40" t="s">
        <v>156</v>
      </c>
      <c r="P135" s="38">
        <v>50</v>
      </c>
      <c r="Q135" s="45" t="s">
        <v>260</v>
      </c>
      <c r="R135" s="47" t="s">
        <v>111</v>
      </c>
      <c r="S135" s="38">
        <v>80</v>
      </c>
      <c r="T135" s="45" t="s">
        <v>261</v>
      </c>
      <c r="U135" s="47" t="s">
        <v>112</v>
      </c>
      <c r="V135" s="38"/>
      <c r="W135" s="46"/>
      <c r="X135" s="44"/>
      <c r="Y135" s="43"/>
      <c r="Z135" s="44"/>
      <c r="AA135" s="44"/>
      <c r="AB135" s="44"/>
      <c r="AC135" s="44"/>
      <c r="AD135" s="44"/>
      <c r="AE135" s="44"/>
      <c r="AF135" s="44"/>
      <c r="AG135" s="44"/>
      <c r="AH135" s="37" t="s">
        <v>199</v>
      </c>
      <c r="AI135" s="42" t="s">
        <v>105</v>
      </c>
      <c r="AJ135" s="52" t="s">
        <v>242</v>
      </c>
      <c r="AK135" s="145" t="str">
        <f t="shared" si="36"/>
        <v>Grit G-50L LINGUA INGLESA</v>
      </c>
      <c r="AL135" s="140" t="s">
        <v>291</v>
      </c>
      <c r="AM135" s="141" t="str">
        <f t="shared" si="37"/>
        <v>3 Malhas</v>
      </c>
      <c r="AN135" s="141" t="str">
        <f t="shared" si="38"/>
        <v>Grit 3 Malhas</v>
      </c>
      <c r="AO135" s="10"/>
      <c r="BJ135" s="36"/>
    </row>
    <row r="136" spans="1:62" ht="15.75" x14ac:dyDescent="0.25">
      <c r="A136" s="36" t="s">
        <v>77</v>
      </c>
      <c r="B136" s="37" t="s">
        <v>100</v>
      </c>
      <c r="C136" s="37" t="str">
        <f t="shared" si="39"/>
        <v>Grit G-80L LINGUA INGLESA</v>
      </c>
      <c r="D136" s="37" t="s">
        <v>220</v>
      </c>
      <c r="E136" s="37" t="s">
        <v>222</v>
      </c>
      <c r="F136" s="37" t="s">
        <v>223</v>
      </c>
      <c r="G136" s="37" t="s">
        <v>225</v>
      </c>
      <c r="H136" s="37" t="s">
        <v>227</v>
      </c>
      <c r="I136" s="37" t="s">
        <v>229</v>
      </c>
      <c r="J136" s="37" t="s">
        <v>230</v>
      </c>
      <c r="K136" s="37" t="s">
        <v>239</v>
      </c>
      <c r="L136" s="37" t="s">
        <v>154</v>
      </c>
      <c r="M136" s="38">
        <v>40</v>
      </c>
      <c r="N136" s="45" t="s">
        <v>246</v>
      </c>
      <c r="O136" s="40" t="s">
        <v>156</v>
      </c>
      <c r="P136" s="38">
        <v>80</v>
      </c>
      <c r="Q136" s="45" t="s">
        <v>261</v>
      </c>
      <c r="R136" s="47" t="s">
        <v>111</v>
      </c>
      <c r="S136" s="38">
        <v>120</v>
      </c>
      <c r="T136" s="45" t="s">
        <v>262</v>
      </c>
      <c r="U136" s="47" t="s">
        <v>112</v>
      </c>
      <c r="V136" s="38"/>
      <c r="W136" s="46"/>
      <c r="X136" s="44"/>
      <c r="Y136" s="43"/>
      <c r="Z136" s="44"/>
      <c r="AA136" s="44"/>
      <c r="AB136" s="44"/>
      <c r="AC136" s="44"/>
      <c r="AD136" s="44"/>
      <c r="AE136" s="44"/>
      <c r="AF136" s="44"/>
      <c r="AG136" s="44"/>
      <c r="AH136" s="37" t="s">
        <v>199</v>
      </c>
      <c r="AI136" s="42" t="s">
        <v>105</v>
      </c>
      <c r="AJ136" s="52" t="s">
        <v>242</v>
      </c>
      <c r="AK136" s="145" t="str">
        <f t="shared" si="36"/>
        <v>Grit G-80L LINGUA INGLESA</v>
      </c>
      <c r="AL136" s="140" t="s">
        <v>291</v>
      </c>
      <c r="AM136" s="141" t="str">
        <f t="shared" si="37"/>
        <v>3 Malhas</v>
      </c>
      <c r="AN136" s="141" t="str">
        <f t="shared" si="38"/>
        <v>Grit 3 Malhas</v>
      </c>
      <c r="AO136" s="10"/>
      <c r="BJ136" s="36"/>
    </row>
    <row r="137" spans="1:62" ht="15.75" x14ac:dyDescent="0.25">
      <c r="A137" s="36" t="s">
        <v>78</v>
      </c>
      <c r="B137" s="37" t="s">
        <v>100</v>
      </c>
      <c r="C137" s="37" t="str">
        <f t="shared" si="39"/>
        <v>Grit G-120L LINGUA INGLESA</v>
      </c>
      <c r="D137" s="37" t="s">
        <v>220</v>
      </c>
      <c r="E137" s="37" t="s">
        <v>222</v>
      </c>
      <c r="F137" s="37" t="s">
        <v>223</v>
      </c>
      <c r="G137" s="37" t="s">
        <v>225</v>
      </c>
      <c r="H137" s="37" t="s">
        <v>227</v>
      </c>
      <c r="I137" s="37" t="s">
        <v>229</v>
      </c>
      <c r="J137" s="37" t="s">
        <v>230</v>
      </c>
      <c r="K137" s="37" t="s">
        <v>239</v>
      </c>
      <c r="L137" s="37" t="s">
        <v>154</v>
      </c>
      <c r="M137" s="38">
        <v>50</v>
      </c>
      <c r="N137" s="45" t="s">
        <v>260</v>
      </c>
      <c r="O137" s="40" t="s">
        <v>156</v>
      </c>
      <c r="P137" s="38">
        <v>120</v>
      </c>
      <c r="Q137" s="45" t="s">
        <v>262</v>
      </c>
      <c r="R137" s="47" t="s">
        <v>113</v>
      </c>
      <c r="S137" s="38">
        <v>200</v>
      </c>
      <c r="T137" s="45" t="s">
        <v>265</v>
      </c>
      <c r="U137" s="47" t="s">
        <v>110</v>
      </c>
      <c r="V137" s="38"/>
      <c r="W137" s="46"/>
      <c r="X137" s="44"/>
      <c r="Y137" s="43"/>
      <c r="Z137" s="44"/>
      <c r="AA137" s="44"/>
      <c r="AB137" s="44"/>
      <c r="AC137" s="44"/>
      <c r="AD137" s="44"/>
      <c r="AE137" s="44"/>
      <c r="AF137" s="44"/>
      <c r="AG137" s="44"/>
      <c r="AH137" s="37" t="s">
        <v>199</v>
      </c>
      <c r="AI137" s="42" t="s">
        <v>105</v>
      </c>
      <c r="AJ137" s="52" t="s">
        <v>242</v>
      </c>
      <c r="AK137" s="145" t="str">
        <f t="shared" si="36"/>
        <v>Grit G-120L LINGUA INGLESA</v>
      </c>
      <c r="AL137" s="140" t="s">
        <v>291</v>
      </c>
      <c r="AM137" s="141" t="str">
        <f t="shared" si="37"/>
        <v>3 Malhas</v>
      </c>
      <c r="AN137" s="141" t="str">
        <f t="shared" si="38"/>
        <v>Grit 3 Malhas</v>
      </c>
      <c r="AO137" s="10"/>
      <c r="BJ137" s="36"/>
    </row>
    <row r="138" spans="1:62" ht="15.75" x14ac:dyDescent="0.25">
      <c r="A138" s="36" t="s">
        <v>79</v>
      </c>
      <c r="B138" s="37" t="s">
        <v>100</v>
      </c>
      <c r="C138" s="37" t="str">
        <f t="shared" si="39"/>
        <v>Grit G-14H LINGUA INGLESA</v>
      </c>
      <c r="D138" s="37" t="s">
        <v>220</v>
      </c>
      <c r="E138" s="37" t="s">
        <v>222</v>
      </c>
      <c r="F138" s="37" t="s">
        <v>223</v>
      </c>
      <c r="G138" s="37" t="s">
        <v>225</v>
      </c>
      <c r="H138" s="37" t="s">
        <v>227</v>
      </c>
      <c r="I138" s="37" t="s">
        <v>229</v>
      </c>
      <c r="J138" s="37" t="s">
        <v>230</v>
      </c>
      <c r="K138" s="37" t="s">
        <v>239</v>
      </c>
      <c r="L138" s="37" t="s">
        <v>155</v>
      </c>
      <c r="M138" s="38">
        <v>10</v>
      </c>
      <c r="N138" s="124" t="s">
        <v>253</v>
      </c>
      <c r="O138" s="40" t="s">
        <v>156</v>
      </c>
      <c r="P138" s="38">
        <v>14</v>
      </c>
      <c r="Q138" s="124" t="s">
        <v>251</v>
      </c>
      <c r="R138" s="47" t="s">
        <v>43</v>
      </c>
      <c r="S138" s="38">
        <v>16</v>
      </c>
      <c r="T138" s="124" t="s">
        <v>250</v>
      </c>
      <c r="U138" s="47" t="s">
        <v>107</v>
      </c>
      <c r="V138" s="38"/>
      <c r="W138" s="46"/>
      <c r="X138" s="44"/>
      <c r="Y138" s="43"/>
      <c r="Z138" s="44"/>
      <c r="AA138" s="44"/>
      <c r="AB138" s="44"/>
      <c r="AC138" s="44"/>
      <c r="AD138" s="44"/>
      <c r="AE138" s="44"/>
      <c r="AF138" s="44"/>
      <c r="AG138" s="44"/>
      <c r="AH138" s="37" t="s">
        <v>199</v>
      </c>
      <c r="AI138" s="42" t="s">
        <v>105</v>
      </c>
      <c r="AJ138" s="52" t="s">
        <v>158</v>
      </c>
      <c r="AK138" s="145" t="str">
        <f t="shared" si="36"/>
        <v>Grit G-14H LINGUA INGLESA</v>
      </c>
      <c r="AL138" s="140" t="s">
        <v>291</v>
      </c>
      <c r="AM138" s="141" t="str">
        <f t="shared" si="37"/>
        <v>3 Malhas</v>
      </c>
      <c r="AN138" s="141" t="str">
        <f t="shared" si="38"/>
        <v>Grit 3 Malhas</v>
      </c>
      <c r="AO138" s="10"/>
      <c r="BJ138" s="36"/>
    </row>
    <row r="139" spans="1:62" ht="15.75" x14ac:dyDescent="0.25">
      <c r="A139" s="36" t="s">
        <v>80</v>
      </c>
      <c r="B139" s="37" t="s">
        <v>100</v>
      </c>
      <c r="C139" s="37" t="str">
        <f t="shared" si="39"/>
        <v>Grit G-16H LINGUA INGLESA</v>
      </c>
      <c r="D139" s="37" t="s">
        <v>220</v>
      </c>
      <c r="E139" s="37" t="s">
        <v>222</v>
      </c>
      <c r="F139" s="37" t="s">
        <v>223</v>
      </c>
      <c r="G139" s="37" t="s">
        <v>225</v>
      </c>
      <c r="H139" s="37" t="s">
        <v>227</v>
      </c>
      <c r="I139" s="37" t="s">
        <v>229</v>
      </c>
      <c r="J139" s="37" t="s">
        <v>230</v>
      </c>
      <c r="K139" s="37" t="s">
        <v>239</v>
      </c>
      <c r="L139" s="37" t="s">
        <v>155</v>
      </c>
      <c r="M139" s="38">
        <v>12</v>
      </c>
      <c r="N139" s="124" t="s">
        <v>252</v>
      </c>
      <c r="O139" s="40" t="s">
        <v>156</v>
      </c>
      <c r="P139" s="38">
        <v>16</v>
      </c>
      <c r="Q139" s="124" t="s">
        <v>250</v>
      </c>
      <c r="R139" s="47" t="s">
        <v>108</v>
      </c>
      <c r="S139" s="38">
        <v>18</v>
      </c>
      <c r="T139" s="124" t="s">
        <v>249</v>
      </c>
      <c r="U139" s="47" t="s">
        <v>103</v>
      </c>
      <c r="V139" s="38"/>
      <c r="W139" s="46"/>
      <c r="X139" s="44"/>
      <c r="Y139" s="43"/>
      <c r="Z139" s="44"/>
      <c r="AA139" s="44"/>
      <c r="AB139" s="44"/>
      <c r="AC139" s="44"/>
      <c r="AD139" s="44"/>
      <c r="AE139" s="44"/>
      <c r="AF139" s="44"/>
      <c r="AG139" s="44"/>
      <c r="AH139" s="37" t="s">
        <v>199</v>
      </c>
      <c r="AI139" s="42" t="s">
        <v>105</v>
      </c>
      <c r="AJ139" s="52" t="s">
        <v>158</v>
      </c>
      <c r="AK139" s="145" t="str">
        <f t="shared" si="36"/>
        <v>Grit G-16H LINGUA INGLESA</v>
      </c>
      <c r="AL139" s="140" t="s">
        <v>291</v>
      </c>
      <c r="AM139" s="141" t="str">
        <f t="shared" si="37"/>
        <v>3 Malhas</v>
      </c>
      <c r="AN139" s="141" t="str">
        <f t="shared" si="38"/>
        <v>Grit 3 Malhas</v>
      </c>
      <c r="AO139" s="10"/>
      <c r="BJ139" s="36"/>
    </row>
    <row r="140" spans="1:62" ht="15.75" x14ac:dyDescent="0.25">
      <c r="A140" s="36" t="s">
        <v>81</v>
      </c>
      <c r="B140" s="37" t="s">
        <v>100</v>
      </c>
      <c r="C140" s="37" t="str">
        <f t="shared" si="39"/>
        <v>Grit G-18H LINGUA INGLESA</v>
      </c>
      <c r="D140" s="37" t="s">
        <v>220</v>
      </c>
      <c r="E140" s="37" t="s">
        <v>222</v>
      </c>
      <c r="F140" s="37" t="s">
        <v>223</v>
      </c>
      <c r="G140" s="37" t="s">
        <v>225</v>
      </c>
      <c r="H140" s="37" t="s">
        <v>227</v>
      </c>
      <c r="I140" s="37" t="s">
        <v>229</v>
      </c>
      <c r="J140" s="37" t="s">
        <v>230</v>
      </c>
      <c r="K140" s="37" t="s">
        <v>239</v>
      </c>
      <c r="L140" s="37" t="s">
        <v>155</v>
      </c>
      <c r="M140" s="38">
        <v>14</v>
      </c>
      <c r="N140" s="124" t="s">
        <v>251</v>
      </c>
      <c r="O140" s="40" t="s">
        <v>156</v>
      </c>
      <c r="P140" s="38">
        <v>18</v>
      </c>
      <c r="Q140" s="124" t="s">
        <v>249</v>
      </c>
      <c r="R140" s="47" t="s">
        <v>108</v>
      </c>
      <c r="S140" s="38">
        <v>25</v>
      </c>
      <c r="T140" s="45" t="s">
        <v>259</v>
      </c>
      <c r="U140" s="47" t="s">
        <v>103</v>
      </c>
      <c r="V140" s="38"/>
      <c r="W140" s="46"/>
      <c r="X140" s="44"/>
      <c r="Y140" s="43"/>
      <c r="Z140" s="44"/>
      <c r="AA140" s="44"/>
      <c r="AB140" s="44"/>
      <c r="AC140" s="44"/>
      <c r="AD140" s="44"/>
      <c r="AE140" s="44"/>
      <c r="AF140" s="44"/>
      <c r="AG140" s="44"/>
      <c r="AH140" s="37" t="s">
        <v>199</v>
      </c>
      <c r="AI140" s="42" t="s">
        <v>105</v>
      </c>
      <c r="AJ140" s="52" t="s">
        <v>158</v>
      </c>
      <c r="AK140" s="145" t="str">
        <f t="shared" si="36"/>
        <v>Grit G-18H LINGUA INGLESA</v>
      </c>
      <c r="AL140" s="140" t="s">
        <v>291</v>
      </c>
      <c r="AM140" s="141" t="str">
        <f t="shared" si="37"/>
        <v>3 Malhas</v>
      </c>
      <c r="AN140" s="141" t="str">
        <f t="shared" si="38"/>
        <v>Grit 3 Malhas</v>
      </c>
      <c r="AO140" s="10"/>
      <c r="BJ140" s="36"/>
    </row>
    <row r="141" spans="1:62" ht="15.75" x14ac:dyDescent="0.25">
      <c r="A141" s="36" t="s">
        <v>82</v>
      </c>
      <c r="B141" s="37" t="s">
        <v>100</v>
      </c>
      <c r="C141" s="37" t="str">
        <f t="shared" si="39"/>
        <v>Gri  G-25H LINGUA INGLESA</v>
      </c>
      <c r="D141" s="37" t="s">
        <v>220</v>
      </c>
      <c r="E141" s="37" t="s">
        <v>222</v>
      </c>
      <c r="F141" s="37" t="s">
        <v>223</v>
      </c>
      <c r="G141" s="37" t="s">
        <v>225</v>
      </c>
      <c r="H141" s="37" t="s">
        <v>227</v>
      </c>
      <c r="I141" s="37" t="s">
        <v>229</v>
      </c>
      <c r="J141" s="37" t="s">
        <v>230</v>
      </c>
      <c r="K141" s="37" t="s">
        <v>239</v>
      </c>
      <c r="L141" s="37" t="s">
        <v>155</v>
      </c>
      <c r="M141" s="38">
        <v>16</v>
      </c>
      <c r="N141" s="124" t="s">
        <v>250</v>
      </c>
      <c r="O141" s="40" t="s">
        <v>156</v>
      </c>
      <c r="P141" s="38">
        <v>25</v>
      </c>
      <c r="Q141" s="45" t="s">
        <v>259</v>
      </c>
      <c r="R141" s="47" t="s">
        <v>109</v>
      </c>
      <c r="S141" s="38">
        <v>40</v>
      </c>
      <c r="T141" s="45" t="s">
        <v>246</v>
      </c>
      <c r="U141" s="47" t="s">
        <v>43</v>
      </c>
      <c r="V141" s="38"/>
      <c r="W141" s="46"/>
      <c r="X141" s="44"/>
      <c r="Y141" s="43"/>
      <c r="Z141" s="44"/>
      <c r="AA141" s="44"/>
      <c r="AB141" s="44"/>
      <c r="AC141" s="44"/>
      <c r="AD141" s="44"/>
      <c r="AE141" s="44"/>
      <c r="AF141" s="44"/>
      <c r="AG141" s="44"/>
      <c r="AH141" s="37" t="s">
        <v>199</v>
      </c>
      <c r="AI141" s="42" t="s">
        <v>105</v>
      </c>
      <c r="AJ141" s="52" t="s">
        <v>158</v>
      </c>
      <c r="AK141" s="145" t="str">
        <f t="shared" si="36"/>
        <v>Gri  G-25H LINGUA INGLESA</v>
      </c>
      <c r="AL141" s="140" t="s">
        <v>291</v>
      </c>
      <c r="AM141" s="141" t="str">
        <f t="shared" si="37"/>
        <v>3 Malhas</v>
      </c>
      <c r="AN141" s="141" t="str">
        <f t="shared" si="38"/>
        <v>Grit 3 Malhas</v>
      </c>
      <c r="AO141" s="10"/>
      <c r="BJ141" s="36"/>
    </row>
    <row r="142" spans="1:62" ht="15.75" x14ac:dyDescent="0.25">
      <c r="A142" s="36" t="s">
        <v>83</v>
      </c>
      <c r="B142" s="37" t="s">
        <v>100</v>
      </c>
      <c r="C142" s="37" t="str">
        <f t="shared" si="39"/>
        <v>Grit G-40H LINGUA INGLESA</v>
      </c>
      <c r="D142" s="37" t="s">
        <v>220</v>
      </c>
      <c r="E142" s="37" t="s">
        <v>222</v>
      </c>
      <c r="F142" s="37" t="s">
        <v>223</v>
      </c>
      <c r="G142" s="37" t="s">
        <v>225</v>
      </c>
      <c r="H142" s="37" t="s">
        <v>227</v>
      </c>
      <c r="I142" s="37" t="s">
        <v>229</v>
      </c>
      <c r="J142" s="37" t="s">
        <v>230</v>
      </c>
      <c r="K142" s="37" t="s">
        <v>239</v>
      </c>
      <c r="L142" s="37" t="s">
        <v>155</v>
      </c>
      <c r="M142" s="38">
        <v>18</v>
      </c>
      <c r="N142" s="124" t="s">
        <v>249</v>
      </c>
      <c r="O142" s="40" t="s">
        <v>156</v>
      </c>
      <c r="P142" s="38">
        <v>40</v>
      </c>
      <c r="Q142" s="45" t="s">
        <v>246</v>
      </c>
      <c r="R142" s="47" t="s">
        <v>110</v>
      </c>
      <c r="S142" s="38">
        <v>50</v>
      </c>
      <c r="T142" s="45" t="s">
        <v>260</v>
      </c>
      <c r="U142" s="47" t="s">
        <v>43</v>
      </c>
      <c r="V142" s="38"/>
      <c r="W142" s="46"/>
      <c r="X142" s="44"/>
      <c r="Y142" s="43"/>
      <c r="Z142" s="44"/>
      <c r="AA142" s="44"/>
      <c r="AB142" s="44"/>
      <c r="AC142" s="44"/>
      <c r="AD142" s="44"/>
      <c r="AE142" s="44"/>
      <c r="AF142" s="44"/>
      <c r="AG142" s="44"/>
      <c r="AH142" s="37" t="s">
        <v>199</v>
      </c>
      <c r="AI142" s="42" t="s">
        <v>105</v>
      </c>
      <c r="AJ142" s="52" t="s">
        <v>158</v>
      </c>
      <c r="AK142" s="145" t="str">
        <f t="shared" si="36"/>
        <v>Grit G-40H LINGUA INGLESA</v>
      </c>
      <c r="AL142" s="140" t="s">
        <v>291</v>
      </c>
      <c r="AM142" s="141" t="str">
        <f t="shared" si="37"/>
        <v>3 Malhas</v>
      </c>
      <c r="AN142" s="141" t="str">
        <f t="shared" si="38"/>
        <v>Grit 3 Malhas</v>
      </c>
      <c r="AO142" s="10"/>
      <c r="BJ142" s="36"/>
    </row>
    <row r="143" spans="1:62" ht="15.75" x14ac:dyDescent="0.25">
      <c r="A143" s="36" t="s">
        <v>84</v>
      </c>
      <c r="B143" s="37" t="s">
        <v>100</v>
      </c>
      <c r="C143" s="37" t="str">
        <f t="shared" si="39"/>
        <v>Grit G-50H LINGUA INGLESA</v>
      </c>
      <c r="D143" s="37" t="s">
        <v>220</v>
      </c>
      <c r="E143" s="37" t="s">
        <v>222</v>
      </c>
      <c r="F143" s="37" t="s">
        <v>223</v>
      </c>
      <c r="G143" s="37" t="s">
        <v>225</v>
      </c>
      <c r="H143" s="37" t="s">
        <v>227</v>
      </c>
      <c r="I143" s="37" t="s">
        <v>229</v>
      </c>
      <c r="J143" s="37" t="s">
        <v>230</v>
      </c>
      <c r="K143" s="37" t="s">
        <v>239</v>
      </c>
      <c r="L143" s="37" t="s">
        <v>155</v>
      </c>
      <c r="M143" s="38">
        <v>25</v>
      </c>
      <c r="N143" s="45" t="s">
        <v>259</v>
      </c>
      <c r="O143" s="40" t="s">
        <v>156</v>
      </c>
      <c r="P143" s="38">
        <v>50</v>
      </c>
      <c r="Q143" s="45" t="s">
        <v>260</v>
      </c>
      <c r="R143" s="47" t="s">
        <v>111</v>
      </c>
      <c r="S143" s="38">
        <v>80</v>
      </c>
      <c r="T143" s="45" t="s">
        <v>261</v>
      </c>
      <c r="U143" s="47" t="s">
        <v>112</v>
      </c>
      <c r="V143" s="38"/>
      <c r="W143" s="46"/>
      <c r="X143" s="44"/>
      <c r="Y143" s="43"/>
      <c r="Z143" s="44"/>
      <c r="AA143" s="44"/>
      <c r="AB143" s="44"/>
      <c r="AC143" s="44"/>
      <c r="AD143" s="44"/>
      <c r="AE143" s="44"/>
      <c r="AF143" s="44"/>
      <c r="AG143" s="44"/>
      <c r="AH143" s="37" t="s">
        <v>199</v>
      </c>
      <c r="AI143" s="42" t="s">
        <v>105</v>
      </c>
      <c r="AJ143" s="52" t="s">
        <v>158</v>
      </c>
      <c r="AK143" s="145" t="str">
        <f t="shared" si="36"/>
        <v>Grit G-50H LINGUA INGLESA</v>
      </c>
      <c r="AL143" s="140" t="s">
        <v>291</v>
      </c>
      <c r="AM143" s="141" t="str">
        <f t="shared" si="37"/>
        <v>3 Malhas</v>
      </c>
      <c r="AN143" s="141" t="str">
        <f t="shared" si="38"/>
        <v>Grit 3 Malhas</v>
      </c>
      <c r="AO143" s="10"/>
      <c r="BJ143" s="36"/>
    </row>
    <row r="144" spans="1:62" ht="15.75" x14ac:dyDescent="0.25">
      <c r="A144" s="36" t="s">
        <v>85</v>
      </c>
      <c r="B144" s="37" t="s">
        <v>100</v>
      </c>
      <c r="C144" s="37" t="str">
        <f t="shared" si="39"/>
        <v>Grit G-80H LINGUA INGLESA</v>
      </c>
      <c r="D144" s="37" t="s">
        <v>220</v>
      </c>
      <c r="E144" s="37" t="s">
        <v>222</v>
      </c>
      <c r="F144" s="37" t="s">
        <v>223</v>
      </c>
      <c r="G144" s="37" t="s">
        <v>225</v>
      </c>
      <c r="H144" s="37" t="s">
        <v>227</v>
      </c>
      <c r="I144" s="37" t="s">
        <v>229</v>
      </c>
      <c r="J144" s="37" t="s">
        <v>230</v>
      </c>
      <c r="K144" s="37" t="s">
        <v>239</v>
      </c>
      <c r="L144" s="37" t="s">
        <v>155</v>
      </c>
      <c r="M144" s="38">
        <v>40</v>
      </c>
      <c r="N144" s="45" t="s">
        <v>246</v>
      </c>
      <c r="O144" s="40" t="s">
        <v>156</v>
      </c>
      <c r="P144" s="38">
        <v>80</v>
      </c>
      <c r="Q144" s="45" t="s">
        <v>261</v>
      </c>
      <c r="R144" s="47" t="s">
        <v>111</v>
      </c>
      <c r="S144" s="38">
        <v>120</v>
      </c>
      <c r="T144" s="45" t="s">
        <v>262</v>
      </c>
      <c r="U144" s="47" t="s">
        <v>112</v>
      </c>
      <c r="V144" s="38"/>
      <c r="W144" s="46"/>
      <c r="X144" s="44"/>
      <c r="Y144" s="43"/>
      <c r="Z144" s="44"/>
      <c r="AA144" s="44"/>
      <c r="AB144" s="44"/>
      <c r="AC144" s="44"/>
      <c r="AD144" s="44"/>
      <c r="AE144" s="44"/>
      <c r="AF144" s="44"/>
      <c r="AG144" s="44"/>
      <c r="AH144" s="37" t="s">
        <v>199</v>
      </c>
      <c r="AI144" s="42" t="s">
        <v>105</v>
      </c>
      <c r="AJ144" s="52" t="s">
        <v>158</v>
      </c>
      <c r="AK144" s="145" t="str">
        <f t="shared" si="36"/>
        <v>Grit G-80H LINGUA INGLESA</v>
      </c>
      <c r="AL144" s="140" t="s">
        <v>291</v>
      </c>
      <c r="AM144" s="141" t="str">
        <f t="shared" si="37"/>
        <v>3 Malhas</v>
      </c>
      <c r="AN144" s="141" t="str">
        <f t="shared" si="38"/>
        <v>Grit 3 Malhas</v>
      </c>
      <c r="AO144" s="10"/>
      <c r="BJ144" s="36"/>
    </row>
    <row r="145" spans="1:62" ht="15.75" x14ac:dyDescent="0.25">
      <c r="A145" s="36" t="s">
        <v>86</v>
      </c>
      <c r="B145" s="37" t="s">
        <v>100</v>
      </c>
      <c r="C145" s="37" t="str">
        <f t="shared" si="39"/>
        <v>Grit G-120H LINGUA INGLESA</v>
      </c>
      <c r="D145" s="37" t="s">
        <v>220</v>
      </c>
      <c r="E145" s="37" t="s">
        <v>222</v>
      </c>
      <c r="F145" s="37" t="s">
        <v>223</v>
      </c>
      <c r="G145" s="37" t="s">
        <v>225</v>
      </c>
      <c r="H145" s="37" t="s">
        <v>227</v>
      </c>
      <c r="I145" s="37" t="s">
        <v>229</v>
      </c>
      <c r="J145" s="37" t="s">
        <v>230</v>
      </c>
      <c r="K145" s="37" t="s">
        <v>239</v>
      </c>
      <c r="L145" s="37" t="s">
        <v>155</v>
      </c>
      <c r="M145" s="38">
        <v>50</v>
      </c>
      <c r="N145" s="45" t="s">
        <v>260</v>
      </c>
      <c r="O145" s="40" t="s">
        <v>156</v>
      </c>
      <c r="P145" s="38">
        <v>120</v>
      </c>
      <c r="Q145" s="45" t="s">
        <v>262</v>
      </c>
      <c r="R145" s="47" t="s">
        <v>113</v>
      </c>
      <c r="S145" s="38">
        <v>200</v>
      </c>
      <c r="T145" s="45" t="s">
        <v>265</v>
      </c>
      <c r="U145" s="47" t="s">
        <v>110</v>
      </c>
      <c r="V145" s="38"/>
      <c r="W145" s="46"/>
      <c r="X145" s="44"/>
      <c r="Y145" s="43"/>
      <c r="Z145" s="44"/>
      <c r="AA145" s="44"/>
      <c r="AB145" s="44"/>
      <c r="AC145" s="44"/>
      <c r="AD145" s="44"/>
      <c r="AE145" s="44"/>
      <c r="AF145" s="44"/>
      <c r="AG145" s="44"/>
      <c r="AH145" s="37" t="s">
        <v>199</v>
      </c>
      <c r="AI145" s="42" t="s">
        <v>105</v>
      </c>
      <c r="AJ145" s="52" t="s">
        <v>158</v>
      </c>
      <c r="AK145" s="145" t="str">
        <f t="shared" si="36"/>
        <v>Grit G-120H LINGUA INGLESA</v>
      </c>
      <c r="AL145" s="140" t="s">
        <v>291</v>
      </c>
      <c r="AM145" s="141" t="str">
        <f t="shared" si="37"/>
        <v>3 Malhas</v>
      </c>
      <c r="AN145" s="141" t="str">
        <f t="shared" si="38"/>
        <v>Grit 3 Malhas</v>
      </c>
      <c r="AO145" s="10"/>
      <c r="BJ145" s="36" t="str">
        <f t="shared" ref="BJ145:BJ161" si="40">IF(A79="","",A79)</f>
        <v/>
      </c>
    </row>
    <row r="146" spans="1:62" ht="18.75" customHeight="1" x14ac:dyDescent="0.25">
      <c r="A146" s="128" t="str">
        <f t="shared" ref="A146:A189" si="41">IF(A52="","",A52)</f>
        <v/>
      </c>
      <c r="B146" s="37" t="s">
        <v>100</v>
      </c>
      <c r="C146" s="37" t="str">
        <f t="shared" ref="C146:C189" si="42">CONCATENATE(A146," ",B146)</f>
        <v xml:space="preserve"> LINGUA INGLESA</v>
      </c>
      <c r="D146" s="129" t="str">
        <f t="shared" ref="D146:D189" si="43">IF(D52=$AU$5,$AU$21,IF(D52=$AV$5,$AV$21,"SEM DADOS"))</f>
        <v>SEM DADOS</v>
      </c>
      <c r="E146" s="129" t="str">
        <f t="shared" ref="E146:E189" si="44">IF(E52=$AU$6,$AU$22,IF(E52=$AV$6,$AV$22,IF(E52=$AW$6,$AW$22,"SEM DADOS")))</f>
        <v>SEM DADOS</v>
      </c>
      <c r="F146" s="129" t="str">
        <f t="shared" ref="F146:F189" si="45">IF(F52=$AV$7,$AV$23,IF(F52=$AW$7,$AW$23,"SEM DADOS"))</f>
        <v>SEM DADOS</v>
      </c>
      <c r="G146" s="129" t="str">
        <f t="shared" ref="G146:G189" si="46">IF(G52=$AU$8,$AU$24,IF(G52=$AV$8,$AV$24,IF(G52=$AW$8,$AW$24,"SEM DADOS")))</f>
        <v>SEM DADOS</v>
      </c>
      <c r="H146" s="129" t="str">
        <f t="shared" ref="H146:H189" si="47">IF(H52=$AU$9,$AU$25,IF(H52=$AV$9,$AV$25,"SEM DADOS"))</f>
        <v>SEM DADOS</v>
      </c>
      <c r="I146" s="129" t="str">
        <f t="shared" ref="I146:I189" si="48">IF(I52=$AU$10,$AU$26,IF(I52=$AV$10,$AV$26,"SEM DADOS"))</f>
        <v>SEM DADOS</v>
      </c>
      <c r="J146" s="129" t="str">
        <f t="shared" ref="J146:J189" si="49">IF(J52=$AU$11,$AU$27,IF(J52=$AV$11,$AV$27,"SEM DADOS"))</f>
        <v>SEM DADOS</v>
      </c>
      <c r="K146" s="129" t="str">
        <f t="shared" ref="K146:K189" si="50">IF(K52=$AU$12,$AU$28,IF(K52=$AV$12,$AV$28,"SEM DADOS"))</f>
        <v>SEM DADOS</v>
      </c>
      <c r="L146" s="37" t="str">
        <f>CONCATENATE("The hardness of 90% of particles shall be within the range of ",AQ120," to ",AR120," HRC.")</f>
        <v>The hardness of 90% of particles shall be within the range of  to  HRC.</v>
      </c>
      <c r="M146" s="130" t="str">
        <f t="shared" ref="M146:M189" si="51">IFERROR(VLOOKUP(N146,$AY$4:$AZ$26,2,FALSE),"")</f>
        <v/>
      </c>
      <c r="N146" s="131" t="str">
        <f t="shared" ref="N146:N189" si="52">IF(N52="","",N52)</f>
        <v/>
      </c>
      <c r="O146" s="40" t="str">
        <f t="shared" ref="O146:O189" si="53">IF(CONCATENATE(IF(AS124=$AU$14,$AU$30,IF(A52=$AV$14,$AV$30,"")),AT124,"%")="%","",CONCATENATE(IF(AS124=$AU$14,$AU$30,IF(A52=$AV$14,$AV$30,"")),AT124,"%"))</f>
        <v/>
      </c>
      <c r="P146" s="130" t="str">
        <f t="shared" ref="P146:P189" si="54">IFERROR(VLOOKUP(Q146,$AY$4:$AZ$26,2,FALSE),"")</f>
        <v/>
      </c>
      <c r="Q146" s="131" t="str">
        <f t="shared" ref="Q146:Q189" si="55">IF(Q52="","",Q52)</f>
        <v/>
      </c>
      <c r="R146" s="129" t="str">
        <f t="shared" ref="R146:R189" si="56">IF(CONCATENATE(IF(AU124=$AU$14,$AU$30,IF(AU124=$AV$14,$AV$30,"")),AV124,"%")="%","",CONCATENATE(IF(AU124=$AU$14,$AU$30,IF(AU124=$AV$14,$AV$30,"")),AV124,"%"))</f>
        <v/>
      </c>
      <c r="S146" s="130" t="str">
        <f t="shared" ref="S146:S189" si="57">IFERROR(VLOOKUP(T146,$AY$4:$AZ$26,2,FALSE),"")</f>
        <v/>
      </c>
      <c r="T146" s="131" t="str">
        <f t="shared" ref="T146:T189" si="58">IF(T52="","",T52)</f>
        <v/>
      </c>
      <c r="U146" s="129" t="str">
        <f t="shared" ref="U146:U189" si="59">IF(CONCATENATE(IF(AW124=$AU$14,$AU$30,IF(AW124=$AV$14,$AV$30,"")),AX124,"%")="%","",CONCATENATE(IF(AW124=$AU$14,$AU$30,IF(AW124=$AV$14,$AV$30,"")),AX124,"%"))</f>
        <v/>
      </c>
      <c r="V146" s="130" t="str">
        <f t="shared" ref="V146:V189" si="60">IFERROR(VLOOKUP(W146,$AY$4:$AZ$26,2,FALSE),"")</f>
        <v/>
      </c>
      <c r="W146" s="131" t="str">
        <f t="shared" ref="W146:W189" si="61">IF(W52="","",W52)</f>
        <v/>
      </c>
      <c r="X146" s="129" t="str">
        <f t="shared" ref="X146:X189" si="62">IF(CONCATENATE(IF(AY124=$AU$14,$AU$30,IF(AY124=$AV$14,$AV$30,"")),AZ124,"%")="%","",CONCATENATE(IF(AY124=$AU$14,$AU$30,IF(AY124=$AV$14,$AV$30,"")),AZ124,"%"))</f>
        <v/>
      </c>
      <c r="Y146" s="130" t="str">
        <f t="shared" ref="Y146:Y189" si="63">IFERROR(VLOOKUP(Z146,$AY$4:$AZ$26,2,FALSE),"")</f>
        <v/>
      </c>
      <c r="Z146" s="131" t="str">
        <f t="shared" ref="Z146:Z189" si="64">IF(Z52="","",Z52)</f>
        <v/>
      </c>
      <c r="AA146" s="129" t="str">
        <f t="shared" ref="AA146:AA189" si="65">IF(CONCATENATE(IF(BA124=$AU$14,$AU$30,IF(BA124=$AV$14,$AV$30,"")),BB124,"%")="%","",CONCATENATE(IF(BA124=$AU$14,$AU$30,IF(BA124=$AV$14,$AV$30,"")),BB124,"%"))</f>
        <v/>
      </c>
      <c r="AB146" s="130" t="str">
        <f t="shared" ref="AB146:AB189" si="66">IFERROR(VLOOKUP(AC146,$AY$4:$AZ$26,2,FALSE),"")</f>
        <v/>
      </c>
      <c r="AC146" s="131" t="str">
        <f t="shared" ref="AC146:AC189" si="67">IF(AC52="","",AC52)</f>
        <v/>
      </c>
      <c r="AD146" s="129" t="str">
        <f t="shared" ref="AD146:AD189" si="68">IF(CONCATENATE(IF(BC124=$AU$14,$AU$30,IF(BC124=$AV$14,$AV$30,"")),BD124,"%")="%","",CONCATENATE(IF(BC124=$AU$14,$AU$30,IF(BC124=$AV$14,$AV$30,"")),BD124,"%"))</f>
        <v/>
      </c>
      <c r="AE146" s="130" t="str">
        <f t="shared" ref="AE146:AE189" si="69">IFERROR(VLOOKUP(AF146,$AY$4:$AZ$26,2,FALSE),"")</f>
        <v/>
      </c>
      <c r="AF146" s="131" t="str">
        <f t="shared" ref="AF146:AF189" si="70">IF(AF52="","",AF52)</f>
        <v/>
      </c>
      <c r="AG146" s="129" t="str">
        <f t="shared" ref="AG146:AG189" si="71">IF(CONCATENATE(IF(BE124=$AU$14,$AU$30,IF(BE124=$AV$14,$AV$30,"")),BF124,"%")="%","",CONCATENATE(IF(BE124=$AU$14,$AU$30,IF(BE124=$AV$14,$AV$30,"")),BF124,"%"))</f>
        <v/>
      </c>
      <c r="AH146" s="129" t="str">
        <f t="shared" ref="AH146:AH189" si="72">IF(CONCATENATE("Min. ",BG124)="Min. ","",CONCATENATE("Min. ",BG124))</f>
        <v/>
      </c>
      <c r="AI146" s="42" t="str">
        <f t="shared" ref="AI146:AI189" si="73">IF(CONCATENATE("Max. ",BH124,"%")="Max. %","",CONCATENATE("Max. ",BH124,"%"))</f>
        <v/>
      </c>
      <c r="AJ146" s="132" t="str">
        <f t="shared" ref="AJ146:AJ189" si="74">IF(AJ52=$AU$13,$AU$29,IF(AJ52=$AV$13,$AV$29,"SEM DADOS"))</f>
        <v>SEM DADOS</v>
      </c>
      <c r="AK146" s="145" t="str">
        <f t="shared" si="36"/>
        <v xml:space="preserve"> LINGUA INGLESA</v>
      </c>
      <c r="AL146" s="159">
        <f t="shared" ref="AL146:AL189" si="75">AL52</f>
        <v>0</v>
      </c>
      <c r="AM146" s="141" t="str">
        <f t="shared" ref="AM146:AM189" si="76">IF(COUNTBLANK(M146:AG146)=15,"2 Malhas",IF(COUNTBLANK(M146:AG146)=12,"3 Malhas",IF(COUNTBLANK(M146:AG146)=9,"4 Malhas",IF(COUNTBLANK(M146:AG146)=6,"5 Malhas",IF(COUNTBLANK(M146:AG146)=3,"6 Malhas",IF(COUNTBLANK(M146:AG146)=0,"7 Malhas","Sem Dados"))))))</f>
        <v>Sem Dados</v>
      </c>
      <c r="AN146" s="141" t="str">
        <f t="shared" si="38"/>
        <v>0 Sem Dados</v>
      </c>
      <c r="AO146" s="10"/>
      <c r="BJ146" s="36" t="str">
        <f t="shared" si="40"/>
        <v/>
      </c>
    </row>
    <row r="147" spans="1:62" ht="15.75" x14ac:dyDescent="0.25">
      <c r="A147" s="128" t="str">
        <f t="shared" si="41"/>
        <v/>
      </c>
      <c r="B147" s="37" t="s">
        <v>100</v>
      </c>
      <c r="C147" s="37" t="str">
        <f t="shared" si="42"/>
        <v xml:space="preserve"> LINGUA INGLESA</v>
      </c>
      <c r="D147" s="129" t="str">
        <f t="shared" si="43"/>
        <v>SEM DADOS</v>
      </c>
      <c r="E147" s="129" t="str">
        <f t="shared" si="44"/>
        <v>SEM DADOS</v>
      </c>
      <c r="F147" s="129" t="str">
        <f t="shared" si="45"/>
        <v>SEM DADOS</v>
      </c>
      <c r="G147" s="129" t="str">
        <f t="shared" si="46"/>
        <v>SEM DADOS</v>
      </c>
      <c r="H147" s="129" t="str">
        <f t="shared" si="47"/>
        <v>SEM DADOS</v>
      </c>
      <c r="I147" s="129" t="str">
        <f t="shared" si="48"/>
        <v>SEM DADOS</v>
      </c>
      <c r="J147" s="129" t="str">
        <f t="shared" si="49"/>
        <v>SEM DADOS</v>
      </c>
      <c r="K147" s="129" t="str">
        <f t="shared" si="50"/>
        <v>SEM DADOS</v>
      </c>
      <c r="L147" s="37" t="str">
        <f>CONCATENATE("The hardness of 90% of particles shall be within the range of ",AQ121," to ",AR121," HRC.")</f>
        <v>The hardness of 90% of particles shall be within the range of  to  HRC.</v>
      </c>
      <c r="M147" s="130" t="str">
        <f t="shared" si="51"/>
        <v/>
      </c>
      <c r="N147" s="131" t="str">
        <f t="shared" si="52"/>
        <v/>
      </c>
      <c r="O147" s="40" t="str">
        <f t="shared" si="53"/>
        <v/>
      </c>
      <c r="P147" s="130" t="str">
        <f t="shared" si="54"/>
        <v/>
      </c>
      <c r="Q147" s="131" t="str">
        <f t="shared" si="55"/>
        <v/>
      </c>
      <c r="R147" s="129" t="str">
        <f t="shared" si="56"/>
        <v/>
      </c>
      <c r="S147" s="130" t="str">
        <f t="shared" si="57"/>
        <v/>
      </c>
      <c r="T147" s="131" t="str">
        <f t="shared" si="58"/>
        <v/>
      </c>
      <c r="U147" s="129" t="str">
        <f t="shared" si="59"/>
        <v/>
      </c>
      <c r="V147" s="130" t="str">
        <f t="shared" si="60"/>
        <v/>
      </c>
      <c r="W147" s="131" t="str">
        <f t="shared" si="61"/>
        <v/>
      </c>
      <c r="X147" s="129" t="str">
        <f t="shared" si="62"/>
        <v/>
      </c>
      <c r="Y147" s="130" t="str">
        <f t="shared" si="63"/>
        <v/>
      </c>
      <c r="Z147" s="131" t="str">
        <f t="shared" si="64"/>
        <v/>
      </c>
      <c r="AA147" s="129" t="str">
        <f t="shared" si="65"/>
        <v/>
      </c>
      <c r="AB147" s="130" t="str">
        <f t="shared" si="66"/>
        <v/>
      </c>
      <c r="AC147" s="131" t="str">
        <f t="shared" si="67"/>
        <v/>
      </c>
      <c r="AD147" s="129" t="str">
        <f t="shared" si="68"/>
        <v/>
      </c>
      <c r="AE147" s="130" t="str">
        <f t="shared" si="69"/>
        <v/>
      </c>
      <c r="AF147" s="131" t="str">
        <f t="shared" si="70"/>
        <v/>
      </c>
      <c r="AG147" s="129" t="str">
        <f t="shared" si="71"/>
        <v/>
      </c>
      <c r="AH147" s="129" t="str">
        <f t="shared" si="72"/>
        <v/>
      </c>
      <c r="AI147" s="42" t="str">
        <f t="shared" si="73"/>
        <v/>
      </c>
      <c r="AJ147" s="132" t="str">
        <f t="shared" si="74"/>
        <v>SEM DADOS</v>
      </c>
      <c r="AK147" s="145" t="str">
        <f t="shared" si="36"/>
        <v xml:space="preserve"> LINGUA INGLESA</v>
      </c>
      <c r="AL147" s="159">
        <f t="shared" si="75"/>
        <v>0</v>
      </c>
      <c r="AM147" s="141" t="str">
        <f t="shared" si="76"/>
        <v>Sem Dados</v>
      </c>
      <c r="AN147" s="141" t="str">
        <f t="shared" si="38"/>
        <v>0 Sem Dados</v>
      </c>
      <c r="AO147" s="10"/>
      <c r="BJ147" s="36" t="str">
        <f t="shared" si="40"/>
        <v/>
      </c>
    </row>
    <row r="148" spans="1:62" ht="15.75" x14ac:dyDescent="0.25">
      <c r="A148" s="128" t="str">
        <f t="shared" si="41"/>
        <v/>
      </c>
      <c r="B148" s="37" t="s">
        <v>100</v>
      </c>
      <c r="C148" s="37" t="str">
        <f t="shared" si="42"/>
        <v xml:space="preserve"> LINGUA INGLESA</v>
      </c>
      <c r="D148" s="129" t="str">
        <f t="shared" si="43"/>
        <v>SEM DADOS</v>
      </c>
      <c r="E148" s="129" t="str">
        <f t="shared" si="44"/>
        <v>SEM DADOS</v>
      </c>
      <c r="F148" s="129" t="str">
        <f t="shared" si="45"/>
        <v>SEM DADOS</v>
      </c>
      <c r="G148" s="129" t="str">
        <f t="shared" si="46"/>
        <v>SEM DADOS</v>
      </c>
      <c r="H148" s="129" t="str">
        <f t="shared" si="47"/>
        <v>SEM DADOS</v>
      </c>
      <c r="I148" s="129" t="str">
        <f t="shared" si="48"/>
        <v>SEM DADOS</v>
      </c>
      <c r="J148" s="129" t="str">
        <f t="shared" si="49"/>
        <v>SEM DADOS</v>
      </c>
      <c r="K148" s="129" t="str">
        <f t="shared" si="50"/>
        <v>SEM DADOS</v>
      </c>
      <c r="L148" s="37" t="str">
        <f>CONCATENATE("The hardness of 90% of particles shall be within the range of ",AQ122," to ",AR122," HRC.")</f>
        <v>The hardness of 90% of particles shall be within the range of  to  HRC.</v>
      </c>
      <c r="M148" s="130" t="str">
        <f t="shared" si="51"/>
        <v/>
      </c>
      <c r="N148" s="131" t="str">
        <f t="shared" si="52"/>
        <v/>
      </c>
      <c r="O148" s="40" t="str">
        <f t="shared" si="53"/>
        <v/>
      </c>
      <c r="P148" s="130" t="str">
        <f t="shared" si="54"/>
        <v/>
      </c>
      <c r="Q148" s="131" t="str">
        <f t="shared" si="55"/>
        <v/>
      </c>
      <c r="R148" s="129" t="str">
        <f t="shared" si="56"/>
        <v/>
      </c>
      <c r="S148" s="130" t="str">
        <f t="shared" si="57"/>
        <v/>
      </c>
      <c r="T148" s="131" t="str">
        <f t="shared" si="58"/>
        <v/>
      </c>
      <c r="U148" s="129" t="str">
        <f t="shared" si="59"/>
        <v/>
      </c>
      <c r="V148" s="130" t="str">
        <f t="shared" si="60"/>
        <v/>
      </c>
      <c r="W148" s="131" t="str">
        <f t="shared" si="61"/>
        <v/>
      </c>
      <c r="X148" s="129" t="str">
        <f t="shared" si="62"/>
        <v/>
      </c>
      <c r="Y148" s="130" t="str">
        <f t="shared" si="63"/>
        <v/>
      </c>
      <c r="Z148" s="131" t="str">
        <f t="shared" si="64"/>
        <v/>
      </c>
      <c r="AA148" s="129" t="str">
        <f t="shared" si="65"/>
        <v/>
      </c>
      <c r="AB148" s="130" t="str">
        <f t="shared" si="66"/>
        <v/>
      </c>
      <c r="AC148" s="131" t="str">
        <f t="shared" si="67"/>
        <v/>
      </c>
      <c r="AD148" s="129" t="str">
        <f t="shared" si="68"/>
        <v/>
      </c>
      <c r="AE148" s="130" t="str">
        <f t="shared" si="69"/>
        <v/>
      </c>
      <c r="AF148" s="131" t="str">
        <f t="shared" si="70"/>
        <v/>
      </c>
      <c r="AG148" s="129" t="str">
        <f t="shared" si="71"/>
        <v/>
      </c>
      <c r="AH148" s="129" t="str">
        <f t="shared" si="72"/>
        <v/>
      </c>
      <c r="AI148" s="42" t="str">
        <f t="shared" si="73"/>
        <v/>
      </c>
      <c r="AJ148" s="132" t="str">
        <f t="shared" si="74"/>
        <v>SEM DADOS</v>
      </c>
      <c r="AK148" s="145" t="str">
        <f t="shared" si="36"/>
        <v xml:space="preserve"> LINGUA INGLESA</v>
      </c>
      <c r="AL148" s="159">
        <f t="shared" si="75"/>
        <v>0</v>
      </c>
      <c r="AM148" s="141" t="str">
        <f t="shared" si="76"/>
        <v>Sem Dados</v>
      </c>
      <c r="AN148" s="141" t="str">
        <f t="shared" si="38"/>
        <v>0 Sem Dados</v>
      </c>
      <c r="AO148" s="10"/>
      <c r="BJ148" s="36" t="str">
        <f t="shared" si="40"/>
        <v/>
      </c>
    </row>
    <row r="149" spans="1:62" ht="15.75" x14ac:dyDescent="0.25">
      <c r="A149" s="128" t="str">
        <f t="shared" si="41"/>
        <v/>
      </c>
      <c r="B149" s="37" t="s">
        <v>100</v>
      </c>
      <c r="C149" s="37" t="str">
        <f t="shared" si="42"/>
        <v xml:space="preserve"> LINGUA INGLESA</v>
      </c>
      <c r="D149" s="129" t="str">
        <f t="shared" si="43"/>
        <v>SEM DADOS</v>
      </c>
      <c r="E149" s="129" t="str">
        <f t="shared" si="44"/>
        <v>SEM DADOS</v>
      </c>
      <c r="F149" s="129" t="str">
        <f t="shared" si="45"/>
        <v>SEM DADOS</v>
      </c>
      <c r="G149" s="129" t="str">
        <f t="shared" si="46"/>
        <v>SEM DADOS</v>
      </c>
      <c r="H149" s="129" t="str">
        <f t="shared" si="47"/>
        <v>SEM DADOS</v>
      </c>
      <c r="I149" s="129" t="str">
        <f t="shared" si="48"/>
        <v>SEM DADOS</v>
      </c>
      <c r="J149" s="129" t="str">
        <f t="shared" si="49"/>
        <v>SEM DADOS</v>
      </c>
      <c r="K149" s="129" t="str">
        <f t="shared" si="50"/>
        <v>SEM DADOS</v>
      </c>
      <c r="L149" s="37" t="str">
        <f>CONCATENATE("The hardness of 90% of particles shall be within the range of ",AQ123," to ",AR123," HRC.")</f>
        <v>The hardness of 90% of particles shall be within the range of  to  HRC.</v>
      </c>
      <c r="M149" s="130" t="str">
        <f t="shared" si="51"/>
        <v/>
      </c>
      <c r="N149" s="131" t="str">
        <f t="shared" si="52"/>
        <v/>
      </c>
      <c r="O149" s="40" t="str">
        <f t="shared" si="53"/>
        <v/>
      </c>
      <c r="P149" s="130" t="str">
        <f t="shared" si="54"/>
        <v/>
      </c>
      <c r="Q149" s="131" t="str">
        <f t="shared" si="55"/>
        <v/>
      </c>
      <c r="R149" s="129" t="str">
        <f t="shared" si="56"/>
        <v/>
      </c>
      <c r="S149" s="130" t="str">
        <f t="shared" si="57"/>
        <v/>
      </c>
      <c r="T149" s="131" t="str">
        <f t="shared" si="58"/>
        <v/>
      </c>
      <c r="U149" s="129" t="str">
        <f t="shared" si="59"/>
        <v/>
      </c>
      <c r="V149" s="130" t="str">
        <f t="shared" si="60"/>
        <v/>
      </c>
      <c r="W149" s="131" t="str">
        <f t="shared" si="61"/>
        <v/>
      </c>
      <c r="X149" s="129" t="str">
        <f t="shared" si="62"/>
        <v/>
      </c>
      <c r="Y149" s="130" t="str">
        <f t="shared" si="63"/>
        <v/>
      </c>
      <c r="Z149" s="131" t="str">
        <f t="shared" si="64"/>
        <v/>
      </c>
      <c r="AA149" s="129" t="str">
        <f t="shared" si="65"/>
        <v/>
      </c>
      <c r="AB149" s="130" t="str">
        <f t="shared" si="66"/>
        <v/>
      </c>
      <c r="AC149" s="131" t="str">
        <f t="shared" si="67"/>
        <v/>
      </c>
      <c r="AD149" s="129" t="str">
        <f t="shared" si="68"/>
        <v/>
      </c>
      <c r="AE149" s="130" t="str">
        <f t="shared" si="69"/>
        <v/>
      </c>
      <c r="AF149" s="131" t="str">
        <f t="shared" si="70"/>
        <v/>
      </c>
      <c r="AG149" s="129" t="str">
        <f t="shared" si="71"/>
        <v/>
      </c>
      <c r="AH149" s="129" t="str">
        <f t="shared" si="72"/>
        <v/>
      </c>
      <c r="AI149" s="42" t="str">
        <f t="shared" si="73"/>
        <v/>
      </c>
      <c r="AJ149" s="132" t="str">
        <f t="shared" si="74"/>
        <v>SEM DADOS</v>
      </c>
      <c r="AK149" s="145" t="str">
        <f t="shared" si="36"/>
        <v xml:space="preserve"> LINGUA INGLESA</v>
      </c>
      <c r="AL149" s="159">
        <f t="shared" si="75"/>
        <v>0</v>
      </c>
      <c r="AM149" s="141" t="str">
        <f t="shared" si="76"/>
        <v>Sem Dados</v>
      </c>
      <c r="AN149" s="141" t="str">
        <f t="shared" si="38"/>
        <v>0 Sem Dados</v>
      </c>
      <c r="AO149" s="10"/>
      <c r="BJ149" s="36" t="str">
        <f t="shared" si="40"/>
        <v/>
      </c>
    </row>
    <row r="150" spans="1:62" ht="15.75" x14ac:dyDescent="0.25">
      <c r="A150" s="128" t="str">
        <f t="shared" si="41"/>
        <v/>
      </c>
      <c r="B150" s="37" t="s">
        <v>100</v>
      </c>
      <c r="C150" s="37" t="str">
        <f t="shared" si="42"/>
        <v xml:space="preserve"> LINGUA INGLESA</v>
      </c>
      <c r="D150" s="129" t="str">
        <f t="shared" si="43"/>
        <v>SEM DADOS</v>
      </c>
      <c r="E150" s="129" t="str">
        <f t="shared" si="44"/>
        <v>SEM DADOS</v>
      </c>
      <c r="F150" s="129" t="str">
        <f t="shared" si="45"/>
        <v>SEM DADOS</v>
      </c>
      <c r="G150" s="129" t="str">
        <f t="shared" si="46"/>
        <v>SEM DADOS</v>
      </c>
      <c r="H150" s="129" t="str">
        <f t="shared" si="47"/>
        <v>SEM DADOS</v>
      </c>
      <c r="I150" s="129" t="str">
        <f t="shared" si="48"/>
        <v>SEM DADOS</v>
      </c>
      <c r="J150" s="129" t="str">
        <f t="shared" si="49"/>
        <v>SEM DADOS</v>
      </c>
      <c r="K150" s="129" t="str">
        <f t="shared" si="50"/>
        <v>SEM DADOS</v>
      </c>
      <c r="L150" s="37" t="str">
        <f t="shared" ref="L150:L188" si="77">CONCATENATE("The hardness of 90% of particles shall be within the range of ",AQ124," to ",AR124," HRC.")</f>
        <v>The hardness of 90% of particles shall be within the range of  to  HRC.</v>
      </c>
      <c r="M150" s="130" t="str">
        <f t="shared" si="51"/>
        <v/>
      </c>
      <c r="N150" s="131" t="str">
        <f t="shared" si="52"/>
        <v/>
      </c>
      <c r="O150" s="40" t="str">
        <f t="shared" si="53"/>
        <v/>
      </c>
      <c r="P150" s="130" t="str">
        <f t="shared" si="54"/>
        <v/>
      </c>
      <c r="Q150" s="131" t="str">
        <f t="shared" si="55"/>
        <v/>
      </c>
      <c r="R150" s="129" t="str">
        <f t="shared" si="56"/>
        <v/>
      </c>
      <c r="S150" s="130" t="str">
        <f t="shared" si="57"/>
        <v/>
      </c>
      <c r="T150" s="131" t="str">
        <f t="shared" si="58"/>
        <v/>
      </c>
      <c r="U150" s="129" t="str">
        <f t="shared" si="59"/>
        <v/>
      </c>
      <c r="V150" s="130" t="str">
        <f t="shared" si="60"/>
        <v/>
      </c>
      <c r="W150" s="131" t="str">
        <f t="shared" si="61"/>
        <v/>
      </c>
      <c r="X150" s="129" t="str">
        <f t="shared" si="62"/>
        <v/>
      </c>
      <c r="Y150" s="130" t="str">
        <f t="shared" si="63"/>
        <v/>
      </c>
      <c r="Z150" s="131" t="str">
        <f t="shared" si="64"/>
        <v/>
      </c>
      <c r="AA150" s="129" t="str">
        <f t="shared" si="65"/>
        <v/>
      </c>
      <c r="AB150" s="130" t="str">
        <f t="shared" si="66"/>
        <v/>
      </c>
      <c r="AC150" s="131" t="str">
        <f t="shared" si="67"/>
        <v/>
      </c>
      <c r="AD150" s="129" t="str">
        <f t="shared" si="68"/>
        <v/>
      </c>
      <c r="AE150" s="130" t="str">
        <f t="shared" si="69"/>
        <v/>
      </c>
      <c r="AF150" s="131" t="str">
        <f t="shared" si="70"/>
        <v/>
      </c>
      <c r="AG150" s="129" t="str">
        <f t="shared" si="71"/>
        <v/>
      </c>
      <c r="AH150" s="129" t="str">
        <f t="shared" si="72"/>
        <v/>
      </c>
      <c r="AI150" s="42" t="str">
        <f t="shared" si="73"/>
        <v/>
      </c>
      <c r="AJ150" s="132" t="str">
        <f t="shared" si="74"/>
        <v>SEM DADOS</v>
      </c>
      <c r="AK150" s="145" t="str">
        <f t="shared" si="36"/>
        <v xml:space="preserve"> LINGUA INGLESA</v>
      </c>
      <c r="AL150" s="159">
        <f t="shared" si="75"/>
        <v>0</v>
      </c>
      <c r="AM150" s="141" t="str">
        <f t="shared" si="76"/>
        <v>Sem Dados</v>
      </c>
      <c r="AN150" s="141" t="str">
        <f t="shared" si="38"/>
        <v>0 Sem Dados</v>
      </c>
      <c r="AO150" s="10"/>
      <c r="BJ150" s="36" t="str">
        <f t="shared" si="40"/>
        <v/>
      </c>
    </row>
    <row r="151" spans="1:62" ht="15.75" x14ac:dyDescent="0.25">
      <c r="A151" s="128" t="str">
        <f t="shared" si="41"/>
        <v/>
      </c>
      <c r="B151" s="37" t="s">
        <v>100</v>
      </c>
      <c r="C151" s="37" t="str">
        <f t="shared" si="42"/>
        <v xml:space="preserve"> LINGUA INGLESA</v>
      </c>
      <c r="D151" s="129" t="str">
        <f t="shared" si="43"/>
        <v>SEM DADOS</v>
      </c>
      <c r="E151" s="129" t="str">
        <f t="shared" si="44"/>
        <v>SEM DADOS</v>
      </c>
      <c r="F151" s="129" t="str">
        <f t="shared" si="45"/>
        <v>SEM DADOS</v>
      </c>
      <c r="G151" s="129" t="str">
        <f t="shared" si="46"/>
        <v>SEM DADOS</v>
      </c>
      <c r="H151" s="129" t="str">
        <f t="shared" si="47"/>
        <v>SEM DADOS</v>
      </c>
      <c r="I151" s="129" t="str">
        <f t="shared" si="48"/>
        <v>SEM DADOS</v>
      </c>
      <c r="J151" s="129" t="str">
        <f t="shared" si="49"/>
        <v>SEM DADOS</v>
      </c>
      <c r="K151" s="129" t="str">
        <f t="shared" si="50"/>
        <v>SEM DADOS</v>
      </c>
      <c r="L151" s="37" t="str">
        <f t="shared" si="77"/>
        <v>The hardness of 90% of particles shall be within the range of  to  HRC.</v>
      </c>
      <c r="M151" s="130" t="str">
        <f t="shared" si="51"/>
        <v/>
      </c>
      <c r="N151" s="131" t="str">
        <f t="shared" si="52"/>
        <v/>
      </c>
      <c r="O151" s="40" t="str">
        <f t="shared" si="53"/>
        <v/>
      </c>
      <c r="P151" s="130" t="str">
        <f t="shared" si="54"/>
        <v/>
      </c>
      <c r="Q151" s="131" t="str">
        <f t="shared" si="55"/>
        <v/>
      </c>
      <c r="R151" s="129" t="str">
        <f t="shared" si="56"/>
        <v/>
      </c>
      <c r="S151" s="130" t="str">
        <f t="shared" si="57"/>
        <v/>
      </c>
      <c r="T151" s="131" t="str">
        <f t="shared" si="58"/>
        <v/>
      </c>
      <c r="U151" s="129" t="str">
        <f t="shared" si="59"/>
        <v/>
      </c>
      <c r="V151" s="130" t="str">
        <f t="shared" si="60"/>
        <v/>
      </c>
      <c r="W151" s="131" t="str">
        <f t="shared" si="61"/>
        <v/>
      </c>
      <c r="X151" s="129" t="str">
        <f t="shared" si="62"/>
        <v/>
      </c>
      <c r="Y151" s="130" t="str">
        <f t="shared" si="63"/>
        <v/>
      </c>
      <c r="Z151" s="131" t="str">
        <f t="shared" si="64"/>
        <v/>
      </c>
      <c r="AA151" s="129" t="str">
        <f t="shared" si="65"/>
        <v/>
      </c>
      <c r="AB151" s="130" t="str">
        <f t="shared" si="66"/>
        <v/>
      </c>
      <c r="AC151" s="131" t="str">
        <f t="shared" si="67"/>
        <v/>
      </c>
      <c r="AD151" s="129" t="str">
        <f t="shared" si="68"/>
        <v/>
      </c>
      <c r="AE151" s="130" t="str">
        <f t="shared" si="69"/>
        <v/>
      </c>
      <c r="AF151" s="131" t="str">
        <f t="shared" si="70"/>
        <v/>
      </c>
      <c r="AG151" s="129" t="str">
        <f t="shared" si="71"/>
        <v/>
      </c>
      <c r="AH151" s="129" t="str">
        <f t="shared" si="72"/>
        <v/>
      </c>
      <c r="AI151" s="42" t="str">
        <f t="shared" si="73"/>
        <v/>
      </c>
      <c r="AJ151" s="132" t="str">
        <f t="shared" si="74"/>
        <v>SEM DADOS</v>
      </c>
      <c r="AK151" s="145" t="str">
        <f t="shared" si="36"/>
        <v xml:space="preserve"> LINGUA INGLESA</v>
      </c>
      <c r="AL151" s="159">
        <f t="shared" si="75"/>
        <v>0</v>
      </c>
      <c r="AM151" s="141" t="str">
        <f t="shared" si="76"/>
        <v>Sem Dados</v>
      </c>
      <c r="AN151" s="141" t="str">
        <f t="shared" si="38"/>
        <v>0 Sem Dados</v>
      </c>
      <c r="AO151" s="10"/>
      <c r="BJ151" s="36" t="str">
        <f t="shared" si="40"/>
        <v/>
      </c>
    </row>
    <row r="152" spans="1:62" ht="15.75" x14ac:dyDescent="0.25">
      <c r="A152" s="128" t="str">
        <f t="shared" si="41"/>
        <v/>
      </c>
      <c r="B152" s="37" t="s">
        <v>100</v>
      </c>
      <c r="C152" s="37" t="str">
        <f t="shared" si="42"/>
        <v xml:space="preserve"> LINGUA INGLESA</v>
      </c>
      <c r="D152" s="129" t="str">
        <f t="shared" si="43"/>
        <v>SEM DADOS</v>
      </c>
      <c r="E152" s="129" t="str">
        <f t="shared" si="44"/>
        <v>SEM DADOS</v>
      </c>
      <c r="F152" s="129" t="str">
        <f t="shared" si="45"/>
        <v>SEM DADOS</v>
      </c>
      <c r="G152" s="129" t="str">
        <f t="shared" si="46"/>
        <v>SEM DADOS</v>
      </c>
      <c r="H152" s="129" t="str">
        <f t="shared" si="47"/>
        <v>SEM DADOS</v>
      </c>
      <c r="I152" s="129" t="str">
        <f t="shared" si="48"/>
        <v>SEM DADOS</v>
      </c>
      <c r="J152" s="129" t="str">
        <f t="shared" si="49"/>
        <v>SEM DADOS</v>
      </c>
      <c r="K152" s="129" t="str">
        <f t="shared" si="50"/>
        <v>SEM DADOS</v>
      </c>
      <c r="L152" s="37" t="str">
        <f t="shared" si="77"/>
        <v>The hardness of 90% of particles shall be within the range of  to  HRC.</v>
      </c>
      <c r="M152" s="130" t="str">
        <f t="shared" si="51"/>
        <v/>
      </c>
      <c r="N152" s="131" t="str">
        <f t="shared" si="52"/>
        <v/>
      </c>
      <c r="O152" s="40" t="str">
        <f t="shared" si="53"/>
        <v/>
      </c>
      <c r="P152" s="130" t="str">
        <f t="shared" si="54"/>
        <v/>
      </c>
      <c r="Q152" s="131" t="str">
        <f t="shared" si="55"/>
        <v/>
      </c>
      <c r="R152" s="129" t="str">
        <f t="shared" si="56"/>
        <v/>
      </c>
      <c r="S152" s="130" t="str">
        <f t="shared" si="57"/>
        <v/>
      </c>
      <c r="T152" s="131" t="str">
        <f t="shared" si="58"/>
        <v/>
      </c>
      <c r="U152" s="129" t="str">
        <f t="shared" si="59"/>
        <v/>
      </c>
      <c r="V152" s="130" t="str">
        <f t="shared" si="60"/>
        <v/>
      </c>
      <c r="W152" s="131" t="str">
        <f t="shared" si="61"/>
        <v/>
      </c>
      <c r="X152" s="129" t="str">
        <f t="shared" si="62"/>
        <v/>
      </c>
      <c r="Y152" s="130" t="str">
        <f t="shared" si="63"/>
        <v/>
      </c>
      <c r="Z152" s="131" t="str">
        <f t="shared" si="64"/>
        <v/>
      </c>
      <c r="AA152" s="129" t="str">
        <f t="shared" si="65"/>
        <v/>
      </c>
      <c r="AB152" s="130" t="str">
        <f t="shared" si="66"/>
        <v/>
      </c>
      <c r="AC152" s="131" t="str">
        <f t="shared" si="67"/>
        <v/>
      </c>
      <c r="AD152" s="129" t="str">
        <f t="shared" si="68"/>
        <v/>
      </c>
      <c r="AE152" s="130" t="str">
        <f t="shared" si="69"/>
        <v/>
      </c>
      <c r="AF152" s="131" t="str">
        <f t="shared" si="70"/>
        <v/>
      </c>
      <c r="AG152" s="129" t="str">
        <f t="shared" si="71"/>
        <v/>
      </c>
      <c r="AH152" s="129" t="str">
        <f t="shared" si="72"/>
        <v/>
      </c>
      <c r="AI152" s="42" t="str">
        <f t="shared" si="73"/>
        <v/>
      </c>
      <c r="AJ152" s="132" t="str">
        <f t="shared" si="74"/>
        <v>SEM DADOS</v>
      </c>
      <c r="AK152" s="145" t="str">
        <f t="shared" si="36"/>
        <v xml:space="preserve"> LINGUA INGLESA</v>
      </c>
      <c r="AL152" s="159">
        <f t="shared" si="75"/>
        <v>0</v>
      </c>
      <c r="AM152" s="141" t="str">
        <f t="shared" si="76"/>
        <v>Sem Dados</v>
      </c>
      <c r="AN152" s="141" t="str">
        <f t="shared" si="38"/>
        <v>0 Sem Dados</v>
      </c>
      <c r="AO152" s="10"/>
      <c r="BJ152" s="36" t="str">
        <f t="shared" si="40"/>
        <v/>
      </c>
    </row>
    <row r="153" spans="1:62" ht="15.75" x14ac:dyDescent="0.25">
      <c r="A153" s="128" t="str">
        <f t="shared" si="41"/>
        <v/>
      </c>
      <c r="B153" s="37" t="s">
        <v>100</v>
      </c>
      <c r="C153" s="37" t="str">
        <f t="shared" si="42"/>
        <v xml:space="preserve"> LINGUA INGLESA</v>
      </c>
      <c r="D153" s="129" t="str">
        <f t="shared" si="43"/>
        <v>SEM DADOS</v>
      </c>
      <c r="E153" s="129" t="str">
        <f t="shared" si="44"/>
        <v>SEM DADOS</v>
      </c>
      <c r="F153" s="129" t="str">
        <f t="shared" si="45"/>
        <v>SEM DADOS</v>
      </c>
      <c r="G153" s="129" t="str">
        <f t="shared" si="46"/>
        <v>SEM DADOS</v>
      </c>
      <c r="H153" s="129" t="str">
        <f t="shared" si="47"/>
        <v>SEM DADOS</v>
      </c>
      <c r="I153" s="129" t="str">
        <f t="shared" si="48"/>
        <v>SEM DADOS</v>
      </c>
      <c r="J153" s="129" t="str">
        <f t="shared" si="49"/>
        <v>SEM DADOS</v>
      </c>
      <c r="K153" s="129" t="str">
        <f t="shared" si="50"/>
        <v>SEM DADOS</v>
      </c>
      <c r="L153" s="37" t="str">
        <f t="shared" si="77"/>
        <v>The hardness of 90% of particles shall be within the range of  to  HRC.</v>
      </c>
      <c r="M153" s="130" t="str">
        <f t="shared" si="51"/>
        <v/>
      </c>
      <c r="N153" s="131" t="str">
        <f t="shared" si="52"/>
        <v/>
      </c>
      <c r="O153" s="40" t="str">
        <f t="shared" si="53"/>
        <v/>
      </c>
      <c r="P153" s="130" t="str">
        <f t="shared" si="54"/>
        <v/>
      </c>
      <c r="Q153" s="131" t="str">
        <f t="shared" si="55"/>
        <v/>
      </c>
      <c r="R153" s="129" t="str">
        <f t="shared" si="56"/>
        <v/>
      </c>
      <c r="S153" s="130" t="str">
        <f t="shared" si="57"/>
        <v/>
      </c>
      <c r="T153" s="131" t="str">
        <f t="shared" si="58"/>
        <v/>
      </c>
      <c r="U153" s="129" t="str">
        <f t="shared" si="59"/>
        <v/>
      </c>
      <c r="V153" s="130" t="str">
        <f t="shared" si="60"/>
        <v/>
      </c>
      <c r="W153" s="131" t="str">
        <f t="shared" si="61"/>
        <v/>
      </c>
      <c r="X153" s="129" t="str">
        <f t="shared" si="62"/>
        <v/>
      </c>
      <c r="Y153" s="130" t="str">
        <f t="shared" si="63"/>
        <v/>
      </c>
      <c r="Z153" s="131" t="str">
        <f t="shared" si="64"/>
        <v/>
      </c>
      <c r="AA153" s="129" t="str">
        <f t="shared" si="65"/>
        <v/>
      </c>
      <c r="AB153" s="130" t="str">
        <f t="shared" si="66"/>
        <v/>
      </c>
      <c r="AC153" s="131" t="str">
        <f t="shared" si="67"/>
        <v/>
      </c>
      <c r="AD153" s="129" t="str">
        <f t="shared" si="68"/>
        <v/>
      </c>
      <c r="AE153" s="130" t="str">
        <f t="shared" si="69"/>
        <v/>
      </c>
      <c r="AF153" s="131" t="str">
        <f t="shared" si="70"/>
        <v/>
      </c>
      <c r="AG153" s="129" t="str">
        <f t="shared" si="71"/>
        <v/>
      </c>
      <c r="AH153" s="129" t="str">
        <f t="shared" si="72"/>
        <v/>
      </c>
      <c r="AI153" s="42" t="str">
        <f t="shared" si="73"/>
        <v/>
      </c>
      <c r="AJ153" s="132" t="str">
        <f t="shared" si="74"/>
        <v>SEM DADOS</v>
      </c>
      <c r="AK153" s="145" t="str">
        <f t="shared" si="36"/>
        <v xml:space="preserve"> LINGUA INGLESA</v>
      </c>
      <c r="AL153" s="159">
        <f t="shared" si="75"/>
        <v>0</v>
      </c>
      <c r="AM153" s="141" t="str">
        <f t="shared" si="76"/>
        <v>Sem Dados</v>
      </c>
      <c r="AN153" s="141" t="str">
        <f t="shared" si="38"/>
        <v>0 Sem Dados</v>
      </c>
      <c r="AO153" s="10"/>
      <c r="BJ153" s="36" t="str">
        <f t="shared" si="40"/>
        <v/>
      </c>
    </row>
    <row r="154" spans="1:62" ht="15.75" x14ac:dyDescent="0.25">
      <c r="A154" s="128" t="str">
        <f t="shared" si="41"/>
        <v/>
      </c>
      <c r="B154" s="37" t="s">
        <v>100</v>
      </c>
      <c r="C154" s="37" t="str">
        <f t="shared" si="42"/>
        <v xml:space="preserve"> LINGUA INGLESA</v>
      </c>
      <c r="D154" s="129" t="str">
        <f t="shared" si="43"/>
        <v>SEM DADOS</v>
      </c>
      <c r="E154" s="129" t="str">
        <f t="shared" si="44"/>
        <v>SEM DADOS</v>
      </c>
      <c r="F154" s="129" t="str">
        <f t="shared" si="45"/>
        <v>SEM DADOS</v>
      </c>
      <c r="G154" s="129" t="str">
        <f t="shared" si="46"/>
        <v>SEM DADOS</v>
      </c>
      <c r="H154" s="129" t="str">
        <f t="shared" si="47"/>
        <v>SEM DADOS</v>
      </c>
      <c r="I154" s="129" t="str">
        <f t="shared" si="48"/>
        <v>SEM DADOS</v>
      </c>
      <c r="J154" s="129" t="str">
        <f t="shared" si="49"/>
        <v>SEM DADOS</v>
      </c>
      <c r="K154" s="129" t="str">
        <f t="shared" si="50"/>
        <v>SEM DADOS</v>
      </c>
      <c r="L154" s="37" t="str">
        <f t="shared" si="77"/>
        <v>The hardness of 90% of particles shall be within the range of  to  HRC.</v>
      </c>
      <c r="M154" s="130" t="str">
        <f t="shared" si="51"/>
        <v/>
      </c>
      <c r="N154" s="131" t="str">
        <f t="shared" si="52"/>
        <v/>
      </c>
      <c r="O154" s="40" t="str">
        <f t="shared" si="53"/>
        <v/>
      </c>
      <c r="P154" s="130" t="str">
        <f t="shared" si="54"/>
        <v/>
      </c>
      <c r="Q154" s="131" t="str">
        <f t="shared" si="55"/>
        <v/>
      </c>
      <c r="R154" s="129" t="str">
        <f t="shared" si="56"/>
        <v/>
      </c>
      <c r="S154" s="130" t="str">
        <f t="shared" si="57"/>
        <v/>
      </c>
      <c r="T154" s="131" t="str">
        <f t="shared" si="58"/>
        <v/>
      </c>
      <c r="U154" s="129" t="str">
        <f t="shared" si="59"/>
        <v/>
      </c>
      <c r="V154" s="130" t="str">
        <f t="shared" si="60"/>
        <v/>
      </c>
      <c r="W154" s="131" t="str">
        <f t="shared" si="61"/>
        <v/>
      </c>
      <c r="X154" s="129" t="str">
        <f t="shared" si="62"/>
        <v/>
      </c>
      <c r="Y154" s="130" t="str">
        <f t="shared" si="63"/>
        <v/>
      </c>
      <c r="Z154" s="131" t="str">
        <f t="shared" si="64"/>
        <v/>
      </c>
      <c r="AA154" s="129" t="str">
        <f t="shared" si="65"/>
        <v/>
      </c>
      <c r="AB154" s="130" t="str">
        <f t="shared" si="66"/>
        <v/>
      </c>
      <c r="AC154" s="131" t="str">
        <f t="shared" si="67"/>
        <v/>
      </c>
      <c r="AD154" s="129" t="str">
        <f t="shared" si="68"/>
        <v/>
      </c>
      <c r="AE154" s="130" t="str">
        <f t="shared" si="69"/>
        <v/>
      </c>
      <c r="AF154" s="131" t="str">
        <f t="shared" si="70"/>
        <v/>
      </c>
      <c r="AG154" s="129" t="str">
        <f t="shared" si="71"/>
        <v/>
      </c>
      <c r="AH154" s="129" t="str">
        <f t="shared" si="72"/>
        <v/>
      </c>
      <c r="AI154" s="42" t="str">
        <f t="shared" si="73"/>
        <v/>
      </c>
      <c r="AJ154" s="132" t="str">
        <f t="shared" si="74"/>
        <v>SEM DADOS</v>
      </c>
      <c r="AK154" s="145" t="str">
        <f t="shared" si="36"/>
        <v xml:space="preserve"> LINGUA INGLESA</v>
      </c>
      <c r="AL154" s="159">
        <f t="shared" si="75"/>
        <v>0</v>
      </c>
      <c r="AM154" s="141" t="str">
        <f t="shared" si="76"/>
        <v>Sem Dados</v>
      </c>
      <c r="AN154" s="141" t="str">
        <f t="shared" si="38"/>
        <v>0 Sem Dados</v>
      </c>
      <c r="AO154" s="10"/>
      <c r="BJ154" s="36" t="str">
        <f t="shared" si="40"/>
        <v/>
      </c>
    </row>
    <row r="155" spans="1:62" ht="15.75" x14ac:dyDescent="0.25">
      <c r="A155" s="128" t="str">
        <f t="shared" si="41"/>
        <v/>
      </c>
      <c r="B155" s="37" t="s">
        <v>100</v>
      </c>
      <c r="C155" s="37" t="str">
        <f t="shared" si="42"/>
        <v xml:space="preserve"> LINGUA INGLESA</v>
      </c>
      <c r="D155" s="129" t="str">
        <f t="shared" si="43"/>
        <v>SEM DADOS</v>
      </c>
      <c r="E155" s="129" t="str">
        <f t="shared" si="44"/>
        <v>SEM DADOS</v>
      </c>
      <c r="F155" s="129" t="str">
        <f t="shared" si="45"/>
        <v>SEM DADOS</v>
      </c>
      <c r="G155" s="129" t="str">
        <f t="shared" si="46"/>
        <v>SEM DADOS</v>
      </c>
      <c r="H155" s="129" t="str">
        <f t="shared" si="47"/>
        <v>SEM DADOS</v>
      </c>
      <c r="I155" s="129" t="str">
        <f t="shared" si="48"/>
        <v>SEM DADOS</v>
      </c>
      <c r="J155" s="129" t="str">
        <f t="shared" si="49"/>
        <v>SEM DADOS</v>
      </c>
      <c r="K155" s="129" t="str">
        <f t="shared" si="50"/>
        <v>SEM DADOS</v>
      </c>
      <c r="L155" s="37" t="str">
        <f t="shared" si="77"/>
        <v>The hardness of 90% of particles shall be within the range of  to  HRC.</v>
      </c>
      <c r="M155" s="130" t="str">
        <f t="shared" si="51"/>
        <v/>
      </c>
      <c r="N155" s="131" t="str">
        <f t="shared" si="52"/>
        <v/>
      </c>
      <c r="O155" s="40" t="str">
        <f t="shared" si="53"/>
        <v/>
      </c>
      <c r="P155" s="130" t="str">
        <f t="shared" si="54"/>
        <v/>
      </c>
      <c r="Q155" s="131" t="str">
        <f t="shared" si="55"/>
        <v/>
      </c>
      <c r="R155" s="129" t="str">
        <f t="shared" si="56"/>
        <v/>
      </c>
      <c r="S155" s="130" t="str">
        <f t="shared" si="57"/>
        <v/>
      </c>
      <c r="T155" s="131" t="str">
        <f t="shared" si="58"/>
        <v/>
      </c>
      <c r="U155" s="129" t="str">
        <f t="shared" si="59"/>
        <v/>
      </c>
      <c r="V155" s="130" t="str">
        <f t="shared" si="60"/>
        <v/>
      </c>
      <c r="W155" s="131" t="str">
        <f t="shared" si="61"/>
        <v/>
      </c>
      <c r="X155" s="129" t="str">
        <f t="shared" si="62"/>
        <v/>
      </c>
      <c r="Y155" s="130" t="str">
        <f t="shared" si="63"/>
        <v/>
      </c>
      <c r="Z155" s="131" t="str">
        <f t="shared" si="64"/>
        <v/>
      </c>
      <c r="AA155" s="129" t="str">
        <f t="shared" si="65"/>
        <v/>
      </c>
      <c r="AB155" s="130" t="str">
        <f t="shared" si="66"/>
        <v/>
      </c>
      <c r="AC155" s="131" t="str">
        <f t="shared" si="67"/>
        <v/>
      </c>
      <c r="AD155" s="129" t="str">
        <f t="shared" si="68"/>
        <v/>
      </c>
      <c r="AE155" s="130" t="str">
        <f t="shared" si="69"/>
        <v/>
      </c>
      <c r="AF155" s="131" t="str">
        <f t="shared" si="70"/>
        <v/>
      </c>
      <c r="AG155" s="129" t="str">
        <f t="shared" si="71"/>
        <v/>
      </c>
      <c r="AH155" s="129" t="str">
        <f t="shared" si="72"/>
        <v/>
      </c>
      <c r="AI155" s="42" t="str">
        <f t="shared" si="73"/>
        <v/>
      </c>
      <c r="AJ155" s="132" t="str">
        <f t="shared" si="74"/>
        <v>SEM DADOS</v>
      </c>
      <c r="AK155" s="145" t="str">
        <f t="shared" si="36"/>
        <v xml:space="preserve"> LINGUA INGLESA</v>
      </c>
      <c r="AL155" s="159">
        <f t="shared" si="75"/>
        <v>0</v>
      </c>
      <c r="AM155" s="141" t="str">
        <f t="shared" si="76"/>
        <v>Sem Dados</v>
      </c>
      <c r="AN155" s="141" t="str">
        <f t="shared" si="38"/>
        <v>0 Sem Dados</v>
      </c>
      <c r="AO155" s="10"/>
      <c r="BJ155" s="36" t="str">
        <f t="shared" si="40"/>
        <v/>
      </c>
    </row>
    <row r="156" spans="1:62" ht="15.75" x14ac:dyDescent="0.25">
      <c r="A156" s="128" t="str">
        <f t="shared" si="41"/>
        <v/>
      </c>
      <c r="B156" s="37" t="s">
        <v>100</v>
      </c>
      <c r="C156" s="37" t="str">
        <f t="shared" si="42"/>
        <v xml:space="preserve"> LINGUA INGLESA</v>
      </c>
      <c r="D156" s="129" t="str">
        <f t="shared" si="43"/>
        <v>SEM DADOS</v>
      </c>
      <c r="E156" s="129" t="str">
        <f t="shared" si="44"/>
        <v>SEM DADOS</v>
      </c>
      <c r="F156" s="129" t="str">
        <f t="shared" si="45"/>
        <v>SEM DADOS</v>
      </c>
      <c r="G156" s="129" t="str">
        <f t="shared" si="46"/>
        <v>SEM DADOS</v>
      </c>
      <c r="H156" s="129" t="str">
        <f t="shared" si="47"/>
        <v>SEM DADOS</v>
      </c>
      <c r="I156" s="129" t="str">
        <f t="shared" si="48"/>
        <v>SEM DADOS</v>
      </c>
      <c r="J156" s="129" t="str">
        <f t="shared" si="49"/>
        <v>SEM DADOS</v>
      </c>
      <c r="K156" s="129" t="str">
        <f t="shared" si="50"/>
        <v>SEM DADOS</v>
      </c>
      <c r="L156" s="37" t="str">
        <f t="shared" si="77"/>
        <v>The hardness of 90% of particles shall be within the range of  to  HRC.</v>
      </c>
      <c r="M156" s="130" t="str">
        <f t="shared" si="51"/>
        <v/>
      </c>
      <c r="N156" s="131" t="str">
        <f t="shared" si="52"/>
        <v/>
      </c>
      <c r="O156" s="40" t="str">
        <f t="shared" si="53"/>
        <v/>
      </c>
      <c r="P156" s="130" t="str">
        <f t="shared" si="54"/>
        <v/>
      </c>
      <c r="Q156" s="131" t="str">
        <f t="shared" si="55"/>
        <v/>
      </c>
      <c r="R156" s="129" t="str">
        <f t="shared" si="56"/>
        <v/>
      </c>
      <c r="S156" s="130" t="str">
        <f t="shared" si="57"/>
        <v/>
      </c>
      <c r="T156" s="131" t="str">
        <f t="shared" si="58"/>
        <v/>
      </c>
      <c r="U156" s="129" t="str">
        <f t="shared" si="59"/>
        <v/>
      </c>
      <c r="V156" s="130" t="str">
        <f t="shared" si="60"/>
        <v/>
      </c>
      <c r="W156" s="131" t="str">
        <f t="shared" si="61"/>
        <v/>
      </c>
      <c r="X156" s="129" t="str">
        <f t="shared" si="62"/>
        <v/>
      </c>
      <c r="Y156" s="130" t="str">
        <f t="shared" si="63"/>
        <v/>
      </c>
      <c r="Z156" s="131" t="str">
        <f t="shared" si="64"/>
        <v/>
      </c>
      <c r="AA156" s="129" t="str">
        <f t="shared" si="65"/>
        <v/>
      </c>
      <c r="AB156" s="130" t="str">
        <f t="shared" si="66"/>
        <v/>
      </c>
      <c r="AC156" s="131" t="str">
        <f t="shared" si="67"/>
        <v/>
      </c>
      <c r="AD156" s="129" t="str">
        <f t="shared" si="68"/>
        <v/>
      </c>
      <c r="AE156" s="130" t="str">
        <f t="shared" si="69"/>
        <v/>
      </c>
      <c r="AF156" s="131" t="str">
        <f t="shared" si="70"/>
        <v/>
      </c>
      <c r="AG156" s="129" t="str">
        <f t="shared" si="71"/>
        <v/>
      </c>
      <c r="AH156" s="129" t="str">
        <f t="shared" si="72"/>
        <v/>
      </c>
      <c r="AI156" s="42" t="str">
        <f t="shared" si="73"/>
        <v/>
      </c>
      <c r="AJ156" s="132" t="str">
        <f t="shared" si="74"/>
        <v>SEM DADOS</v>
      </c>
      <c r="AK156" s="145" t="str">
        <f t="shared" si="36"/>
        <v xml:space="preserve"> LINGUA INGLESA</v>
      </c>
      <c r="AL156" s="159">
        <f t="shared" si="75"/>
        <v>0</v>
      </c>
      <c r="AM156" s="141" t="str">
        <f t="shared" si="76"/>
        <v>Sem Dados</v>
      </c>
      <c r="AN156" s="141" t="str">
        <f t="shared" si="38"/>
        <v>0 Sem Dados</v>
      </c>
      <c r="AO156" s="10"/>
      <c r="BJ156" s="36" t="str">
        <f t="shared" si="40"/>
        <v/>
      </c>
    </row>
    <row r="157" spans="1:62" ht="15.75" x14ac:dyDescent="0.25">
      <c r="A157" s="128" t="str">
        <f t="shared" si="41"/>
        <v/>
      </c>
      <c r="B157" s="37" t="s">
        <v>100</v>
      </c>
      <c r="C157" s="37" t="str">
        <f t="shared" si="42"/>
        <v xml:space="preserve"> LINGUA INGLESA</v>
      </c>
      <c r="D157" s="129" t="str">
        <f t="shared" si="43"/>
        <v>SEM DADOS</v>
      </c>
      <c r="E157" s="129" t="str">
        <f t="shared" si="44"/>
        <v>SEM DADOS</v>
      </c>
      <c r="F157" s="129" t="str">
        <f t="shared" si="45"/>
        <v>SEM DADOS</v>
      </c>
      <c r="G157" s="129" t="str">
        <f t="shared" si="46"/>
        <v>SEM DADOS</v>
      </c>
      <c r="H157" s="129" t="str">
        <f t="shared" si="47"/>
        <v>SEM DADOS</v>
      </c>
      <c r="I157" s="129" t="str">
        <f t="shared" si="48"/>
        <v>SEM DADOS</v>
      </c>
      <c r="J157" s="129" t="str">
        <f t="shared" si="49"/>
        <v>SEM DADOS</v>
      </c>
      <c r="K157" s="129" t="str">
        <f t="shared" si="50"/>
        <v>SEM DADOS</v>
      </c>
      <c r="L157" s="37" t="str">
        <f t="shared" si="77"/>
        <v>The hardness of 90% of particles shall be within the range of  to  HRC.</v>
      </c>
      <c r="M157" s="130" t="str">
        <f t="shared" si="51"/>
        <v/>
      </c>
      <c r="N157" s="131" t="str">
        <f t="shared" si="52"/>
        <v/>
      </c>
      <c r="O157" s="40" t="str">
        <f t="shared" si="53"/>
        <v/>
      </c>
      <c r="P157" s="130" t="str">
        <f t="shared" si="54"/>
        <v/>
      </c>
      <c r="Q157" s="131" t="str">
        <f t="shared" si="55"/>
        <v/>
      </c>
      <c r="R157" s="129" t="str">
        <f t="shared" si="56"/>
        <v/>
      </c>
      <c r="S157" s="130" t="str">
        <f t="shared" si="57"/>
        <v/>
      </c>
      <c r="T157" s="131" t="str">
        <f t="shared" si="58"/>
        <v/>
      </c>
      <c r="U157" s="129" t="str">
        <f t="shared" si="59"/>
        <v/>
      </c>
      <c r="V157" s="130" t="str">
        <f t="shared" si="60"/>
        <v/>
      </c>
      <c r="W157" s="131" t="str">
        <f t="shared" si="61"/>
        <v/>
      </c>
      <c r="X157" s="129" t="str">
        <f t="shared" si="62"/>
        <v/>
      </c>
      <c r="Y157" s="130" t="str">
        <f t="shared" si="63"/>
        <v/>
      </c>
      <c r="Z157" s="131" t="str">
        <f t="shared" si="64"/>
        <v/>
      </c>
      <c r="AA157" s="129" t="str">
        <f t="shared" si="65"/>
        <v/>
      </c>
      <c r="AB157" s="130" t="str">
        <f t="shared" si="66"/>
        <v/>
      </c>
      <c r="AC157" s="131" t="str">
        <f t="shared" si="67"/>
        <v/>
      </c>
      <c r="AD157" s="129" t="str">
        <f t="shared" si="68"/>
        <v/>
      </c>
      <c r="AE157" s="130" t="str">
        <f t="shared" si="69"/>
        <v/>
      </c>
      <c r="AF157" s="131" t="str">
        <f t="shared" si="70"/>
        <v/>
      </c>
      <c r="AG157" s="129" t="str">
        <f t="shared" si="71"/>
        <v/>
      </c>
      <c r="AH157" s="129" t="str">
        <f t="shared" si="72"/>
        <v/>
      </c>
      <c r="AI157" s="42" t="str">
        <f t="shared" si="73"/>
        <v/>
      </c>
      <c r="AJ157" s="132" t="str">
        <f t="shared" si="74"/>
        <v>SEM DADOS</v>
      </c>
      <c r="AK157" s="145" t="str">
        <f t="shared" si="36"/>
        <v xml:space="preserve"> LINGUA INGLESA</v>
      </c>
      <c r="AL157" s="159">
        <f t="shared" si="75"/>
        <v>0</v>
      </c>
      <c r="AM157" s="141" t="str">
        <f t="shared" si="76"/>
        <v>Sem Dados</v>
      </c>
      <c r="AN157" s="141" t="str">
        <f t="shared" si="38"/>
        <v>0 Sem Dados</v>
      </c>
      <c r="AO157" s="10"/>
      <c r="BJ157" s="36" t="str">
        <f t="shared" si="40"/>
        <v/>
      </c>
    </row>
    <row r="158" spans="1:62" ht="15.75" x14ac:dyDescent="0.25">
      <c r="A158" s="128" t="str">
        <f t="shared" si="41"/>
        <v/>
      </c>
      <c r="B158" s="37" t="s">
        <v>100</v>
      </c>
      <c r="C158" s="37" t="str">
        <f t="shared" si="42"/>
        <v xml:space="preserve"> LINGUA INGLESA</v>
      </c>
      <c r="D158" s="129" t="str">
        <f t="shared" si="43"/>
        <v>SEM DADOS</v>
      </c>
      <c r="E158" s="129" t="str">
        <f t="shared" si="44"/>
        <v>SEM DADOS</v>
      </c>
      <c r="F158" s="129" t="str">
        <f t="shared" si="45"/>
        <v>SEM DADOS</v>
      </c>
      <c r="G158" s="129" t="str">
        <f t="shared" si="46"/>
        <v>SEM DADOS</v>
      </c>
      <c r="H158" s="129" t="str">
        <f t="shared" si="47"/>
        <v>SEM DADOS</v>
      </c>
      <c r="I158" s="129" t="str">
        <f t="shared" si="48"/>
        <v>SEM DADOS</v>
      </c>
      <c r="J158" s="129" t="str">
        <f t="shared" si="49"/>
        <v>SEM DADOS</v>
      </c>
      <c r="K158" s="129" t="str">
        <f t="shared" si="50"/>
        <v>SEM DADOS</v>
      </c>
      <c r="L158" s="37" t="str">
        <f t="shared" si="77"/>
        <v>The hardness of 90% of particles shall be within the range of  to  HRC.</v>
      </c>
      <c r="M158" s="130" t="str">
        <f t="shared" si="51"/>
        <v/>
      </c>
      <c r="N158" s="131" t="str">
        <f t="shared" si="52"/>
        <v/>
      </c>
      <c r="O158" s="40" t="str">
        <f t="shared" si="53"/>
        <v/>
      </c>
      <c r="P158" s="130" t="str">
        <f t="shared" si="54"/>
        <v/>
      </c>
      <c r="Q158" s="131" t="str">
        <f t="shared" si="55"/>
        <v/>
      </c>
      <c r="R158" s="129" t="str">
        <f t="shared" si="56"/>
        <v/>
      </c>
      <c r="S158" s="130" t="str">
        <f t="shared" si="57"/>
        <v/>
      </c>
      <c r="T158" s="131" t="str">
        <f t="shared" si="58"/>
        <v/>
      </c>
      <c r="U158" s="129" t="str">
        <f t="shared" si="59"/>
        <v/>
      </c>
      <c r="V158" s="130" t="str">
        <f t="shared" si="60"/>
        <v/>
      </c>
      <c r="W158" s="131" t="str">
        <f t="shared" si="61"/>
        <v/>
      </c>
      <c r="X158" s="129" t="str">
        <f t="shared" si="62"/>
        <v/>
      </c>
      <c r="Y158" s="130" t="str">
        <f t="shared" si="63"/>
        <v/>
      </c>
      <c r="Z158" s="131" t="str">
        <f t="shared" si="64"/>
        <v/>
      </c>
      <c r="AA158" s="129" t="str">
        <f t="shared" si="65"/>
        <v/>
      </c>
      <c r="AB158" s="130" t="str">
        <f t="shared" si="66"/>
        <v/>
      </c>
      <c r="AC158" s="131" t="str">
        <f t="shared" si="67"/>
        <v/>
      </c>
      <c r="AD158" s="129" t="str">
        <f t="shared" si="68"/>
        <v/>
      </c>
      <c r="AE158" s="130" t="str">
        <f t="shared" si="69"/>
        <v/>
      </c>
      <c r="AF158" s="131" t="str">
        <f t="shared" si="70"/>
        <v/>
      </c>
      <c r="AG158" s="129" t="str">
        <f t="shared" si="71"/>
        <v/>
      </c>
      <c r="AH158" s="129" t="str">
        <f t="shared" si="72"/>
        <v/>
      </c>
      <c r="AI158" s="42" t="str">
        <f t="shared" si="73"/>
        <v/>
      </c>
      <c r="AJ158" s="132" t="str">
        <f t="shared" si="74"/>
        <v>SEM DADOS</v>
      </c>
      <c r="AK158" s="145" t="str">
        <f t="shared" si="36"/>
        <v xml:space="preserve"> LINGUA INGLESA</v>
      </c>
      <c r="AL158" s="159">
        <f t="shared" si="75"/>
        <v>0</v>
      </c>
      <c r="AM158" s="141" t="str">
        <f t="shared" si="76"/>
        <v>Sem Dados</v>
      </c>
      <c r="AN158" s="141" t="str">
        <f t="shared" si="38"/>
        <v>0 Sem Dados</v>
      </c>
      <c r="AO158" s="10"/>
      <c r="BJ158" s="36" t="str">
        <f t="shared" si="40"/>
        <v/>
      </c>
    </row>
    <row r="159" spans="1:62" ht="15.75" x14ac:dyDescent="0.25">
      <c r="A159" s="128" t="str">
        <f t="shared" si="41"/>
        <v/>
      </c>
      <c r="B159" s="37" t="s">
        <v>100</v>
      </c>
      <c r="C159" s="37" t="str">
        <f t="shared" si="42"/>
        <v xml:space="preserve"> LINGUA INGLESA</v>
      </c>
      <c r="D159" s="129" t="str">
        <f t="shared" si="43"/>
        <v>SEM DADOS</v>
      </c>
      <c r="E159" s="129" t="str">
        <f t="shared" si="44"/>
        <v>SEM DADOS</v>
      </c>
      <c r="F159" s="129" t="str">
        <f t="shared" si="45"/>
        <v>SEM DADOS</v>
      </c>
      <c r="G159" s="129" t="str">
        <f t="shared" si="46"/>
        <v>SEM DADOS</v>
      </c>
      <c r="H159" s="129" t="str">
        <f t="shared" si="47"/>
        <v>SEM DADOS</v>
      </c>
      <c r="I159" s="129" t="str">
        <f t="shared" si="48"/>
        <v>SEM DADOS</v>
      </c>
      <c r="J159" s="129" t="str">
        <f t="shared" si="49"/>
        <v>SEM DADOS</v>
      </c>
      <c r="K159" s="129" t="str">
        <f t="shared" si="50"/>
        <v>SEM DADOS</v>
      </c>
      <c r="L159" s="37" t="str">
        <f t="shared" si="77"/>
        <v>The hardness of 90% of particles shall be within the range of  to  HRC.</v>
      </c>
      <c r="M159" s="130" t="str">
        <f t="shared" si="51"/>
        <v/>
      </c>
      <c r="N159" s="131" t="str">
        <f t="shared" si="52"/>
        <v/>
      </c>
      <c r="O159" s="40" t="str">
        <f t="shared" si="53"/>
        <v/>
      </c>
      <c r="P159" s="130" t="str">
        <f t="shared" si="54"/>
        <v/>
      </c>
      <c r="Q159" s="131" t="str">
        <f t="shared" si="55"/>
        <v/>
      </c>
      <c r="R159" s="129" t="str">
        <f t="shared" si="56"/>
        <v/>
      </c>
      <c r="S159" s="130" t="str">
        <f t="shared" si="57"/>
        <v/>
      </c>
      <c r="T159" s="131" t="str">
        <f t="shared" si="58"/>
        <v/>
      </c>
      <c r="U159" s="129" t="str">
        <f t="shared" si="59"/>
        <v/>
      </c>
      <c r="V159" s="130" t="str">
        <f t="shared" si="60"/>
        <v/>
      </c>
      <c r="W159" s="131" t="str">
        <f t="shared" si="61"/>
        <v/>
      </c>
      <c r="X159" s="129" t="str">
        <f t="shared" si="62"/>
        <v/>
      </c>
      <c r="Y159" s="130" t="str">
        <f t="shared" si="63"/>
        <v/>
      </c>
      <c r="Z159" s="131" t="str">
        <f t="shared" si="64"/>
        <v/>
      </c>
      <c r="AA159" s="129" t="str">
        <f t="shared" si="65"/>
        <v/>
      </c>
      <c r="AB159" s="130" t="str">
        <f t="shared" si="66"/>
        <v/>
      </c>
      <c r="AC159" s="131" t="str">
        <f t="shared" si="67"/>
        <v/>
      </c>
      <c r="AD159" s="129" t="str">
        <f t="shared" si="68"/>
        <v/>
      </c>
      <c r="AE159" s="130" t="str">
        <f t="shared" si="69"/>
        <v/>
      </c>
      <c r="AF159" s="131" t="str">
        <f t="shared" si="70"/>
        <v/>
      </c>
      <c r="AG159" s="129" t="str">
        <f t="shared" si="71"/>
        <v/>
      </c>
      <c r="AH159" s="129" t="str">
        <f t="shared" si="72"/>
        <v/>
      </c>
      <c r="AI159" s="42" t="str">
        <f t="shared" si="73"/>
        <v/>
      </c>
      <c r="AJ159" s="132" t="str">
        <f t="shared" si="74"/>
        <v>SEM DADOS</v>
      </c>
      <c r="AK159" s="145" t="str">
        <f t="shared" si="36"/>
        <v xml:space="preserve"> LINGUA INGLESA</v>
      </c>
      <c r="AL159" s="159">
        <f t="shared" si="75"/>
        <v>0</v>
      </c>
      <c r="AM159" s="141" t="str">
        <f t="shared" si="76"/>
        <v>Sem Dados</v>
      </c>
      <c r="AN159" s="141" t="str">
        <f t="shared" si="38"/>
        <v>0 Sem Dados</v>
      </c>
      <c r="AO159" s="10"/>
      <c r="BJ159" s="36" t="str">
        <f t="shared" si="40"/>
        <v/>
      </c>
    </row>
    <row r="160" spans="1:62" ht="15.75" x14ac:dyDescent="0.25">
      <c r="A160" s="128" t="str">
        <f t="shared" si="41"/>
        <v/>
      </c>
      <c r="B160" s="37" t="s">
        <v>100</v>
      </c>
      <c r="C160" s="37" t="str">
        <f t="shared" si="42"/>
        <v xml:space="preserve"> LINGUA INGLESA</v>
      </c>
      <c r="D160" s="129" t="str">
        <f t="shared" si="43"/>
        <v>SEM DADOS</v>
      </c>
      <c r="E160" s="129" t="str">
        <f t="shared" si="44"/>
        <v>SEM DADOS</v>
      </c>
      <c r="F160" s="129" t="str">
        <f t="shared" si="45"/>
        <v>SEM DADOS</v>
      </c>
      <c r="G160" s="129" t="str">
        <f t="shared" si="46"/>
        <v>SEM DADOS</v>
      </c>
      <c r="H160" s="129" t="str">
        <f t="shared" si="47"/>
        <v>SEM DADOS</v>
      </c>
      <c r="I160" s="129" t="str">
        <f t="shared" si="48"/>
        <v>SEM DADOS</v>
      </c>
      <c r="J160" s="129" t="str">
        <f t="shared" si="49"/>
        <v>SEM DADOS</v>
      </c>
      <c r="K160" s="129" t="str">
        <f t="shared" si="50"/>
        <v>SEM DADOS</v>
      </c>
      <c r="L160" s="37" t="str">
        <f t="shared" si="77"/>
        <v>The hardness of 90% of particles shall be within the range of  to  HRC.</v>
      </c>
      <c r="M160" s="130" t="str">
        <f t="shared" si="51"/>
        <v/>
      </c>
      <c r="N160" s="131" t="str">
        <f t="shared" si="52"/>
        <v/>
      </c>
      <c r="O160" s="40" t="str">
        <f t="shared" si="53"/>
        <v/>
      </c>
      <c r="P160" s="130" t="str">
        <f t="shared" si="54"/>
        <v/>
      </c>
      <c r="Q160" s="131" t="str">
        <f t="shared" si="55"/>
        <v/>
      </c>
      <c r="R160" s="129" t="str">
        <f t="shared" si="56"/>
        <v/>
      </c>
      <c r="S160" s="130" t="str">
        <f t="shared" si="57"/>
        <v/>
      </c>
      <c r="T160" s="131" t="str">
        <f t="shared" si="58"/>
        <v/>
      </c>
      <c r="U160" s="129" t="str">
        <f t="shared" si="59"/>
        <v/>
      </c>
      <c r="V160" s="130" t="str">
        <f t="shared" si="60"/>
        <v/>
      </c>
      <c r="W160" s="131" t="str">
        <f t="shared" si="61"/>
        <v/>
      </c>
      <c r="X160" s="129" t="str">
        <f t="shared" si="62"/>
        <v/>
      </c>
      <c r="Y160" s="130" t="str">
        <f t="shared" si="63"/>
        <v/>
      </c>
      <c r="Z160" s="131" t="str">
        <f t="shared" si="64"/>
        <v/>
      </c>
      <c r="AA160" s="129" t="str">
        <f t="shared" si="65"/>
        <v/>
      </c>
      <c r="AB160" s="130" t="str">
        <f t="shared" si="66"/>
        <v/>
      </c>
      <c r="AC160" s="131" t="str">
        <f t="shared" si="67"/>
        <v/>
      </c>
      <c r="AD160" s="129" t="str">
        <f t="shared" si="68"/>
        <v/>
      </c>
      <c r="AE160" s="130" t="str">
        <f t="shared" si="69"/>
        <v/>
      </c>
      <c r="AF160" s="131" t="str">
        <f t="shared" si="70"/>
        <v/>
      </c>
      <c r="AG160" s="129" t="str">
        <f t="shared" si="71"/>
        <v/>
      </c>
      <c r="AH160" s="129" t="str">
        <f t="shared" si="72"/>
        <v/>
      </c>
      <c r="AI160" s="42" t="str">
        <f t="shared" si="73"/>
        <v/>
      </c>
      <c r="AJ160" s="132" t="str">
        <f t="shared" si="74"/>
        <v>SEM DADOS</v>
      </c>
      <c r="AK160" s="145" t="str">
        <f t="shared" ref="AK160:AK189" si="78">C160</f>
        <v xml:space="preserve"> LINGUA INGLESA</v>
      </c>
      <c r="AL160" s="159">
        <f t="shared" si="75"/>
        <v>0</v>
      </c>
      <c r="AM160" s="141" t="str">
        <f t="shared" si="76"/>
        <v>Sem Dados</v>
      </c>
      <c r="AN160" s="141" t="str">
        <f t="shared" ref="AN160:AN189" si="79">CONCATENATE(AL160," ",AM160)</f>
        <v>0 Sem Dados</v>
      </c>
      <c r="AO160" s="10"/>
      <c r="BJ160" s="36" t="str">
        <f t="shared" si="40"/>
        <v/>
      </c>
    </row>
    <row r="161" spans="1:62" ht="15.75" x14ac:dyDescent="0.25">
      <c r="A161" s="128" t="str">
        <f t="shared" si="41"/>
        <v/>
      </c>
      <c r="B161" s="37" t="s">
        <v>100</v>
      </c>
      <c r="C161" s="37" t="str">
        <f t="shared" si="42"/>
        <v xml:space="preserve"> LINGUA INGLESA</v>
      </c>
      <c r="D161" s="129" t="str">
        <f t="shared" si="43"/>
        <v>SEM DADOS</v>
      </c>
      <c r="E161" s="129" t="str">
        <f t="shared" si="44"/>
        <v>SEM DADOS</v>
      </c>
      <c r="F161" s="129" t="str">
        <f t="shared" si="45"/>
        <v>SEM DADOS</v>
      </c>
      <c r="G161" s="129" t="str">
        <f t="shared" si="46"/>
        <v>SEM DADOS</v>
      </c>
      <c r="H161" s="129" t="str">
        <f t="shared" si="47"/>
        <v>SEM DADOS</v>
      </c>
      <c r="I161" s="129" t="str">
        <f t="shared" si="48"/>
        <v>SEM DADOS</v>
      </c>
      <c r="J161" s="129" t="str">
        <f t="shared" si="49"/>
        <v>SEM DADOS</v>
      </c>
      <c r="K161" s="129" t="str">
        <f t="shared" si="50"/>
        <v>SEM DADOS</v>
      </c>
      <c r="L161" s="37" t="str">
        <f t="shared" si="77"/>
        <v>The hardness of 90% of particles shall be within the range of  to  HRC.</v>
      </c>
      <c r="M161" s="130" t="str">
        <f t="shared" si="51"/>
        <v/>
      </c>
      <c r="N161" s="131" t="str">
        <f t="shared" si="52"/>
        <v/>
      </c>
      <c r="O161" s="40" t="str">
        <f t="shared" si="53"/>
        <v/>
      </c>
      <c r="P161" s="130" t="str">
        <f t="shared" si="54"/>
        <v/>
      </c>
      <c r="Q161" s="131" t="str">
        <f t="shared" si="55"/>
        <v/>
      </c>
      <c r="R161" s="129" t="str">
        <f t="shared" si="56"/>
        <v/>
      </c>
      <c r="S161" s="130" t="str">
        <f t="shared" si="57"/>
        <v/>
      </c>
      <c r="T161" s="131" t="str">
        <f t="shared" si="58"/>
        <v/>
      </c>
      <c r="U161" s="129" t="str">
        <f t="shared" si="59"/>
        <v/>
      </c>
      <c r="V161" s="130" t="str">
        <f t="shared" si="60"/>
        <v/>
      </c>
      <c r="W161" s="131" t="str">
        <f t="shared" si="61"/>
        <v/>
      </c>
      <c r="X161" s="129" t="str">
        <f t="shared" si="62"/>
        <v/>
      </c>
      <c r="Y161" s="130" t="str">
        <f t="shared" si="63"/>
        <v/>
      </c>
      <c r="Z161" s="131" t="str">
        <f t="shared" si="64"/>
        <v/>
      </c>
      <c r="AA161" s="129" t="str">
        <f t="shared" si="65"/>
        <v/>
      </c>
      <c r="AB161" s="130" t="str">
        <f t="shared" si="66"/>
        <v/>
      </c>
      <c r="AC161" s="131" t="str">
        <f t="shared" si="67"/>
        <v/>
      </c>
      <c r="AD161" s="129" t="str">
        <f t="shared" si="68"/>
        <v/>
      </c>
      <c r="AE161" s="130" t="str">
        <f t="shared" si="69"/>
        <v/>
      </c>
      <c r="AF161" s="131" t="str">
        <f t="shared" si="70"/>
        <v/>
      </c>
      <c r="AG161" s="129" t="str">
        <f t="shared" si="71"/>
        <v/>
      </c>
      <c r="AH161" s="129" t="str">
        <f t="shared" si="72"/>
        <v/>
      </c>
      <c r="AI161" s="42" t="str">
        <f t="shared" si="73"/>
        <v/>
      </c>
      <c r="AJ161" s="132" t="str">
        <f t="shared" si="74"/>
        <v>SEM DADOS</v>
      </c>
      <c r="AK161" s="145" t="str">
        <f t="shared" si="78"/>
        <v xml:space="preserve"> LINGUA INGLESA</v>
      </c>
      <c r="AL161" s="159">
        <f t="shared" si="75"/>
        <v>0</v>
      </c>
      <c r="AM161" s="141" t="str">
        <f t="shared" si="76"/>
        <v>Sem Dados</v>
      </c>
      <c r="AN161" s="141" t="str">
        <f t="shared" si="79"/>
        <v>0 Sem Dados</v>
      </c>
      <c r="AO161" s="10"/>
      <c r="BJ161" s="36" t="str">
        <f t="shared" si="40"/>
        <v/>
      </c>
    </row>
    <row r="162" spans="1:62" ht="15.75" x14ac:dyDescent="0.25">
      <c r="A162" s="128" t="str">
        <f t="shared" si="41"/>
        <v/>
      </c>
      <c r="B162" s="37" t="s">
        <v>100</v>
      </c>
      <c r="C162" s="37" t="str">
        <f t="shared" si="42"/>
        <v xml:space="preserve"> LINGUA INGLESA</v>
      </c>
      <c r="D162" s="129" t="str">
        <f t="shared" si="43"/>
        <v>SEM DADOS</v>
      </c>
      <c r="E162" s="129" t="str">
        <f t="shared" si="44"/>
        <v>SEM DADOS</v>
      </c>
      <c r="F162" s="129" t="str">
        <f t="shared" si="45"/>
        <v>SEM DADOS</v>
      </c>
      <c r="G162" s="129" t="str">
        <f t="shared" si="46"/>
        <v>SEM DADOS</v>
      </c>
      <c r="H162" s="129" t="str">
        <f t="shared" si="47"/>
        <v>SEM DADOS</v>
      </c>
      <c r="I162" s="129" t="str">
        <f t="shared" si="48"/>
        <v>SEM DADOS</v>
      </c>
      <c r="J162" s="129" t="str">
        <f t="shared" si="49"/>
        <v>SEM DADOS</v>
      </c>
      <c r="K162" s="129" t="str">
        <f t="shared" si="50"/>
        <v>SEM DADOS</v>
      </c>
      <c r="L162" s="37" t="str">
        <f t="shared" si="77"/>
        <v>The hardness of 90% of particles shall be within the range of  to  HRC.</v>
      </c>
      <c r="M162" s="130" t="str">
        <f t="shared" si="51"/>
        <v/>
      </c>
      <c r="N162" s="131" t="str">
        <f t="shared" si="52"/>
        <v/>
      </c>
      <c r="O162" s="40" t="str">
        <f t="shared" si="53"/>
        <v/>
      </c>
      <c r="P162" s="130" t="str">
        <f t="shared" si="54"/>
        <v/>
      </c>
      <c r="Q162" s="131" t="str">
        <f t="shared" si="55"/>
        <v/>
      </c>
      <c r="R162" s="129" t="str">
        <f t="shared" si="56"/>
        <v/>
      </c>
      <c r="S162" s="130" t="str">
        <f t="shared" si="57"/>
        <v/>
      </c>
      <c r="T162" s="131" t="str">
        <f t="shared" si="58"/>
        <v/>
      </c>
      <c r="U162" s="129" t="str">
        <f t="shared" si="59"/>
        <v/>
      </c>
      <c r="V162" s="130" t="str">
        <f t="shared" si="60"/>
        <v/>
      </c>
      <c r="W162" s="131" t="str">
        <f t="shared" si="61"/>
        <v/>
      </c>
      <c r="X162" s="129" t="str">
        <f t="shared" si="62"/>
        <v/>
      </c>
      <c r="Y162" s="130" t="str">
        <f t="shared" si="63"/>
        <v/>
      </c>
      <c r="Z162" s="131" t="str">
        <f t="shared" si="64"/>
        <v/>
      </c>
      <c r="AA162" s="129" t="str">
        <f t="shared" si="65"/>
        <v/>
      </c>
      <c r="AB162" s="130" t="str">
        <f t="shared" si="66"/>
        <v/>
      </c>
      <c r="AC162" s="131" t="str">
        <f t="shared" si="67"/>
        <v/>
      </c>
      <c r="AD162" s="129" t="str">
        <f t="shared" si="68"/>
        <v/>
      </c>
      <c r="AE162" s="130" t="str">
        <f t="shared" si="69"/>
        <v/>
      </c>
      <c r="AF162" s="131" t="str">
        <f t="shared" si="70"/>
        <v/>
      </c>
      <c r="AG162" s="129" t="str">
        <f t="shared" si="71"/>
        <v/>
      </c>
      <c r="AH162" s="129" t="str">
        <f t="shared" si="72"/>
        <v/>
      </c>
      <c r="AI162" s="42" t="str">
        <f t="shared" si="73"/>
        <v/>
      </c>
      <c r="AJ162" s="132" t="str">
        <f t="shared" si="74"/>
        <v>SEM DADOS</v>
      </c>
      <c r="AK162" s="145" t="str">
        <f t="shared" si="78"/>
        <v xml:space="preserve"> LINGUA INGLESA</v>
      </c>
      <c r="AL162" s="159">
        <f t="shared" si="75"/>
        <v>0</v>
      </c>
      <c r="AM162" s="141" t="str">
        <f t="shared" si="76"/>
        <v>Sem Dados</v>
      </c>
      <c r="AN162" s="141" t="str">
        <f t="shared" si="79"/>
        <v>0 Sem Dados</v>
      </c>
      <c r="AO162" s="10"/>
    </row>
    <row r="163" spans="1:62" ht="15.75" x14ac:dyDescent="0.25">
      <c r="A163" s="128" t="str">
        <f t="shared" si="41"/>
        <v/>
      </c>
      <c r="B163" s="37" t="s">
        <v>100</v>
      </c>
      <c r="C163" s="37" t="str">
        <f t="shared" si="42"/>
        <v xml:space="preserve"> LINGUA INGLESA</v>
      </c>
      <c r="D163" s="129" t="str">
        <f t="shared" si="43"/>
        <v>SEM DADOS</v>
      </c>
      <c r="E163" s="129" t="str">
        <f t="shared" si="44"/>
        <v>SEM DADOS</v>
      </c>
      <c r="F163" s="129" t="str">
        <f t="shared" si="45"/>
        <v>SEM DADOS</v>
      </c>
      <c r="G163" s="129" t="str">
        <f t="shared" si="46"/>
        <v>SEM DADOS</v>
      </c>
      <c r="H163" s="129" t="str">
        <f t="shared" si="47"/>
        <v>SEM DADOS</v>
      </c>
      <c r="I163" s="129" t="str">
        <f t="shared" si="48"/>
        <v>SEM DADOS</v>
      </c>
      <c r="J163" s="129" t="str">
        <f t="shared" si="49"/>
        <v>SEM DADOS</v>
      </c>
      <c r="K163" s="129" t="str">
        <f t="shared" si="50"/>
        <v>SEM DADOS</v>
      </c>
      <c r="L163" s="37" t="str">
        <f t="shared" si="77"/>
        <v>The hardness of 90% of particles shall be within the range of  to  HRC.</v>
      </c>
      <c r="M163" s="130" t="str">
        <f t="shared" si="51"/>
        <v/>
      </c>
      <c r="N163" s="131" t="str">
        <f t="shared" si="52"/>
        <v/>
      </c>
      <c r="O163" s="40" t="str">
        <f t="shared" si="53"/>
        <v/>
      </c>
      <c r="P163" s="130" t="str">
        <f t="shared" si="54"/>
        <v/>
      </c>
      <c r="Q163" s="131" t="str">
        <f t="shared" si="55"/>
        <v/>
      </c>
      <c r="R163" s="129" t="str">
        <f t="shared" si="56"/>
        <v/>
      </c>
      <c r="S163" s="130" t="str">
        <f t="shared" si="57"/>
        <v/>
      </c>
      <c r="T163" s="131" t="str">
        <f t="shared" si="58"/>
        <v/>
      </c>
      <c r="U163" s="129" t="str">
        <f t="shared" si="59"/>
        <v/>
      </c>
      <c r="V163" s="130" t="str">
        <f t="shared" si="60"/>
        <v/>
      </c>
      <c r="W163" s="131" t="str">
        <f t="shared" si="61"/>
        <v/>
      </c>
      <c r="X163" s="129" t="str">
        <f t="shared" si="62"/>
        <v/>
      </c>
      <c r="Y163" s="130" t="str">
        <f t="shared" si="63"/>
        <v/>
      </c>
      <c r="Z163" s="131" t="str">
        <f t="shared" si="64"/>
        <v/>
      </c>
      <c r="AA163" s="129" t="str">
        <f t="shared" si="65"/>
        <v/>
      </c>
      <c r="AB163" s="130" t="str">
        <f t="shared" si="66"/>
        <v/>
      </c>
      <c r="AC163" s="131" t="str">
        <f t="shared" si="67"/>
        <v/>
      </c>
      <c r="AD163" s="129" t="str">
        <f t="shared" si="68"/>
        <v/>
      </c>
      <c r="AE163" s="130" t="str">
        <f t="shared" si="69"/>
        <v/>
      </c>
      <c r="AF163" s="131" t="str">
        <f t="shared" si="70"/>
        <v/>
      </c>
      <c r="AG163" s="129" t="str">
        <f t="shared" si="71"/>
        <v/>
      </c>
      <c r="AH163" s="129" t="str">
        <f t="shared" si="72"/>
        <v/>
      </c>
      <c r="AI163" s="42" t="str">
        <f t="shared" si="73"/>
        <v/>
      </c>
      <c r="AJ163" s="132" t="str">
        <f t="shared" si="74"/>
        <v>SEM DADOS</v>
      </c>
      <c r="AK163" s="145" t="str">
        <f t="shared" si="78"/>
        <v xml:space="preserve"> LINGUA INGLESA</v>
      </c>
      <c r="AL163" s="159">
        <f t="shared" si="75"/>
        <v>0</v>
      </c>
      <c r="AM163" s="141" t="str">
        <f t="shared" si="76"/>
        <v>Sem Dados</v>
      </c>
      <c r="AN163" s="141" t="str">
        <f t="shared" si="79"/>
        <v>0 Sem Dados</v>
      </c>
      <c r="AO163" s="10"/>
    </row>
    <row r="164" spans="1:62" ht="15.75" x14ac:dyDescent="0.25">
      <c r="A164" s="128" t="str">
        <f t="shared" si="41"/>
        <v/>
      </c>
      <c r="B164" s="37" t="s">
        <v>100</v>
      </c>
      <c r="C164" s="37" t="str">
        <f t="shared" si="42"/>
        <v xml:space="preserve"> LINGUA INGLESA</v>
      </c>
      <c r="D164" s="129" t="str">
        <f t="shared" si="43"/>
        <v>SEM DADOS</v>
      </c>
      <c r="E164" s="129" t="str">
        <f t="shared" si="44"/>
        <v>SEM DADOS</v>
      </c>
      <c r="F164" s="129" t="str">
        <f t="shared" si="45"/>
        <v>SEM DADOS</v>
      </c>
      <c r="G164" s="129" t="str">
        <f t="shared" si="46"/>
        <v>SEM DADOS</v>
      </c>
      <c r="H164" s="129" t="str">
        <f t="shared" si="47"/>
        <v>SEM DADOS</v>
      </c>
      <c r="I164" s="129" t="str">
        <f t="shared" si="48"/>
        <v>SEM DADOS</v>
      </c>
      <c r="J164" s="129" t="str">
        <f t="shared" si="49"/>
        <v>SEM DADOS</v>
      </c>
      <c r="K164" s="129" t="str">
        <f t="shared" si="50"/>
        <v>SEM DADOS</v>
      </c>
      <c r="L164" s="37" t="str">
        <f t="shared" si="77"/>
        <v>The hardness of 90% of particles shall be within the range of  to  HRC.</v>
      </c>
      <c r="M164" s="130" t="str">
        <f t="shared" si="51"/>
        <v/>
      </c>
      <c r="N164" s="131" t="str">
        <f t="shared" si="52"/>
        <v/>
      </c>
      <c r="O164" s="40" t="str">
        <f t="shared" si="53"/>
        <v/>
      </c>
      <c r="P164" s="130" t="str">
        <f t="shared" si="54"/>
        <v/>
      </c>
      <c r="Q164" s="131" t="str">
        <f t="shared" si="55"/>
        <v/>
      </c>
      <c r="R164" s="129" t="str">
        <f t="shared" si="56"/>
        <v/>
      </c>
      <c r="S164" s="130" t="str">
        <f t="shared" si="57"/>
        <v/>
      </c>
      <c r="T164" s="131" t="str">
        <f t="shared" si="58"/>
        <v/>
      </c>
      <c r="U164" s="129" t="str">
        <f t="shared" si="59"/>
        <v/>
      </c>
      <c r="V164" s="130" t="str">
        <f t="shared" si="60"/>
        <v/>
      </c>
      <c r="W164" s="131" t="str">
        <f t="shared" si="61"/>
        <v/>
      </c>
      <c r="X164" s="129" t="str">
        <f t="shared" si="62"/>
        <v/>
      </c>
      <c r="Y164" s="130" t="str">
        <f t="shared" si="63"/>
        <v/>
      </c>
      <c r="Z164" s="131" t="str">
        <f t="shared" si="64"/>
        <v/>
      </c>
      <c r="AA164" s="129" t="str">
        <f t="shared" si="65"/>
        <v/>
      </c>
      <c r="AB164" s="130" t="str">
        <f t="shared" si="66"/>
        <v/>
      </c>
      <c r="AC164" s="131" t="str">
        <f t="shared" si="67"/>
        <v/>
      </c>
      <c r="AD164" s="129" t="str">
        <f t="shared" si="68"/>
        <v/>
      </c>
      <c r="AE164" s="130" t="str">
        <f t="shared" si="69"/>
        <v/>
      </c>
      <c r="AF164" s="131" t="str">
        <f t="shared" si="70"/>
        <v/>
      </c>
      <c r="AG164" s="129" t="str">
        <f t="shared" si="71"/>
        <v/>
      </c>
      <c r="AH164" s="129" t="str">
        <f t="shared" si="72"/>
        <v/>
      </c>
      <c r="AI164" s="42" t="str">
        <f t="shared" si="73"/>
        <v/>
      </c>
      <c r="AJ164" s="132" t="str">
        <f t="shared" si="74"/>
        <v>SEM DADOS</v>
      </c>
      <c r="AK164" s="145" t="str">
        <f t="shared" si="78"/>
        <v xml:space="preserve"> LINGUA INGLESA</v>
      </c>
      <c r="AL164" s="159">
        <f t="shared" si="75"/>
        <v>0</v>
      </c>
      <c r="AM164" s="141" t="str">
        <f t="shared" si="76"/>
        <v>Sem Dados</v>
      </c>
      <c r="AN164" s="141" t="str">
        <f t="shared" si="79"/>
        <v>0 Sem Dados</v>
      </c>
    </row>
    <row r="165" spans="1:62" ht="15.75" x14ac:dyDescent="0.25">
      <c r="A165" s="128" t="str">
        <f t="shared" si="41"/>
        <v/>
      </c>
      <c r="B165" s="37" t="s">
        <v>100</v>
      </c>
      <c r="C165" s="37" t="str">
        <f t="shared" si="42"/>
        <v xml:space="preserve"> LINGUA INGLESA</v>
      </c>
      <c r="D165" s="129" t="str">
        <f t="shared" si="43"/>
        <v>SEM DADOS</v>
      </c>
      <c r="E165" s="129" t="str">
        <f t="shared" si="44"/>
        <v>SEM DADOS</v>
      </c>
      <c r="F165" s="129" t="str">
        <f t="shared" si="45"/>
        <v>SEM DADOS</v>
      </c>
      <c r="G165" s="129" t="str">
        <f t="shared" si="46"/>
        <v>SEM DADOS</v>
      </c>
      <c r="H165" s="129" t="str">
        <f t="shared" si="47"/>
        <v>SEM DADOS</v>
      </c>
      <c r="I165" s="129" t="str">
        <f t="shared" si="48"/>
        <v>SEM DADOS</v>
      </c>
      <c r="J165" s="129" t="str">
        <f t="shared" si="49"/>
        <v>SEM DADOS</v>
      </c>
      <c r="K165" s="129" t="str">
        <f t="shared" si="50"/>
        <v>SEM DADOS</v>
      </c>
      <c r="L165" s="37" t="str">
        <f t="shared" si="77"/>
        <v>The hardness of 90% of particles shall be within the range of  to  HRC.</v>
      </c>
      <c r="M165" s="130" t="str">
        <f t="shared" si="51"/>
        <v/>
      </c>
      <c r="N165" s="131" t="str">
        <f t="shared" si="52"/>
        <v/>
      </c>
      <c r="O165" s="40" t="str">
        <f t="shared" si="53"/>
        <v/>
      </c>
      <c r="P165" s="130" t="str">
        <f t="shared" si="54"/>
        <v/>
      </c>
      <c r="Q165" s="131" t="str">
        <f t="shared" si="55"/>
        <v/>
      </c>
      <c r="R165" s="129" t="str">
        <f t="shared" si="56"/>
        <v/>
      </c>
      <c r="S165" s="130" t="str">
        <f t="shared" si="57"/>
        <v/>
      </c>
      <c r="T165" s="131" t="str">
        <f t="shared" si="58"/>
        <v/>
      </c>
      <c r="U165" s="129" t="str">
        <f t="shared" si="59"/>
        <v/>
      </c>
      <c r="V165" s="130" t="str">
        <f t="shared" si="60"/>
        <v/>
      </c>
      <c r="W165" s="131" t="str">
        <f t="shared" si="61"/>
        <v/>
      </c>
      <c r="X165" s="129" t="str">
        <f t="shared" si="62"/>
        <v/>
      </c>
      <c r="Y165" s="130" t="str">
        <f t="shared" si="63"/>
        <v/>
      </c>
      <c r="Z165" s="131" t="str">
        <f t="shared" si="64"/>
        <v/>
      </c>
      <c r="AA165" s="129" t="str">
        <f t="shared" si="65"/>
        <v/>
      </c>
      <c r="AB165" s="130" t="str">
        <f t="shared" si="66"/>
        <v/>
      </c>
      <c r="AC165" s="131" t="str">
        <f t="shared" si="67"/>
        <v/>
      </c>
      <c r="AD165" s="129" t="str">
        <f t="shared" si="68"/>
        <v/>
      </c>
      <c r="AE165" s="130" t="str">
        <f t="shared" si="69"/>
        <v/>
      </c>
      <c r="AF165" s="131" t="str">
        <f t="shared" si="70"/>
        <v/>
      </c>
      <c r="AG165" s="129" t="str">
        <f t="shared" si="71"/>
        <v/>
      </c>
      <c r="AH165" s="129" t="str">
        <f t="shared" si="72"/>
        <v/>
      </c>
      <c r="AI165" s="42" t="str">
        <f t="shared" si="73"/>
        <v/>
      </c>
      <c r="AJ165" s="132" t="str">
        <f t="shared" si="74"/>
        <v>SEM DADOS</v>
      </c>
      <c r="AK165" s="145" t="str">
        <f t="shared" si="78"/>
        <v xml:space="preserve"> LINGUA INGLESA</v>
      </c>
      <c r="AL165" s="159">
        <f t="shared" si="75"/>
        <v>0</v>
      </c>
      <c r="AM165" s="141" t="str">
        <f t="shared" si="76"/>
        <v>Sem Dados</v>
      </c>
      <c r="AN165" s="141" t="str">
        <f t="shared" si="79"/>
        <v>0 Sem Dados</v>
      </c>
    </row>
    <row r="166" spans="1:62" ht="15.75" x14ac:dyDescent="0.25">
      <c r="A166" s="128" t="str">
        <f t="shared" si="41"/>
        <v/>
      </c>
      <c r="B166" s="37" t="s">
        <v>100</v>
      </c>
      <c r="C166" s="37" t="str">
        <f t="shared" si="42"/>
        <v xml:space="preserve"> LINGUA INGLESA</v>
      </c>
      <c r="D166" s="129" t="str">
        <f t="shared" si="43"/>
        <v>SEM DADOS</v>
      </c>
      <c r="E166" s="129" t="str">
        <f t="shared" si="44"/>
        <v>SEM DADOS</v>
      </c>
      <c r="F166" s="129" t="str">
        <f t="shared" si="45"/>
        <v>SEM DADOS</v>
      </c>
      <c r="G166" s="129" t="str">
        <f t="shared" si="46"/>
        <v>SEM DADOS</v>
      </c>
      <c r="H166" s="129" t="str">
        <f t="shared" si="47"/>
        <v>SEM DADOS</v>
      </c>
      <c r="I166" s="129" t="str">
        <f t="shared" si="48"/>
        <v>SEM DADOS</v>
      </c>
      <c r="J166" s="129" t="str">
        <f t="shared" si="49"/>
        <v>SEM DADOS</v>
      </c>
      <c r="K166" s="129" t="str">
        <f t="shared" si="50"/>
        <v>SEM DADOS</v>
      </c>
      <c r="L166" s="37" t="str">
        <f t="shared" si="77"/>
        <v>The hardness of 90% of particles shall be within the range of  to  HRC.</v>
      </c>
      <c r="M166" s="130" t="str">
        <f t="shared" si="51"/>
        <v/>
      </c>
      <c r="N166" s="131" t="str">
        <f t="shared" si="52"/>
        <v/>
      </c>
      <c r="O166" s="40" t="str">
        <f t="shared" si="53"/>
        <v/>
      </c>
      <c r="P166" s="130" t="str">
        <f t="shared" si="54"/>
        <v/>
      </c>
      <c r="Q166" s="131" t="str">
        <f t="shared" si="55"/>
        <v/>
      </c>
      <c r="R166" s="129" t="str">
        <f t="shared" si="56"/>
        <v/>
      </c>
      <c r="S166" s="130" t="str">
        <f t="shared" si="57"/>
        <v/>
      </c>
      <c r="T166" s="131" t="str">
        <f t="shared" si="58"/>
        <v/>
      </c>
      <c r="U166" s="129" t="str">
        <f t="shared" si="59"/>
        <v/>
      </c>
      <c r="V166" s="130" t="str">
        <f t="shared" si="60"/>
        <v/>
      </c>
      <c r="W166" s="131" t="str">
        <f t="shared" si="61"/>
        <v/>
      </c>
      <c r="X166" s="129" t="str">
        <f t="shared" si="62"/>
        <v/>
      </c>
      <c r="Y166" s="130" t="str">
        <f t="shared" si="63"/>
        <v/>
      </c>
      <c r="Z166" s="131" t="str">
        <f t="shared" si="64"/>
        <v/>
      </c>
      <c r="AA166" s="129" t="str">
        <f t="shared" si="65"/>
        <v/>
      </c>
      <c r="AB166" s="130" t="str">
        <f t="shared" si="66"/>
        <v/>
      </c>
      <c r="AC166" s="131" t="str">
        <f t="shared" si="67"/>
        <v/>
      </c>
      <c r="AD166" s="129" t="str">
        <f t="shared" si="68"/>
        <v/>
      </c>
      <c r="AE166" s="130" t="str">
        <f t="shared" si="69"/>
        <v/>
      </c>
      <c r="AF166" s="131" t="str">
        <f t="shared" si="70"/>
        <v/>
      </c>
      <c r="AG166" s="129" t="str">
        <f t="shared" si="71"/>
        <v/>
      </c>
      <c r="AH166" s="129" t="str">
        <f t="shared" si="72"/>
        <v/>
      </c>
      <c r="AI166" s="42" t="str">
        <f t="shared" si="73"/>
        <v/>
      </c>
      <c r="AJ166" s="132" t="str">
        <f t="shared" si="74"/>
        <v>SEM DADOS</v>
      </c>
      <c r="AK166" s="145" t="str">
        <f t="shared" si="78"/>
        <v xml:space="preserve"> LINGUA INGLESA</v>
      </c>
      <c r="AL166" s="159">
        <f t="shared" si="75"/>
        <v>0</v>
      </c>
      <c r="AM166" s="141" t="str">
        <f t="shared" si="76"/>
        <v>Sem Dados</v>
      </c>
      <c r="AN166" s="141" t="str">
        <f t="shared" si="79"/>
        <v>0 Sem Dados</v>
      </c>
    </row>
    <row r="167" spans="1:62" ht="15.75" x14ac:dyDescent="0.25">
      <c r="A167" s="128" t="str">
        <f t="shared" si="41"/>
        <v/>
      </c>
      <c r="B167" s="37" t="s">
        <v>100</v>
      </c>
      <c r="C167" s="37" t="str">
        <f t="shared" si="42"/>
        <v xml:space="preserve"> LINGUA INGLESA</v>
      </c>
      <c r="D167" s="129" t="str">
        <f t="shared" si="43"/>
        <v>SEM DADOS</v>
      </c>
      <c r="E167" s="129" t="str">
        <f t="shared" si="44"/>
        <v>SEM DADOS</v>
      </c>
      <c r="F167" s="129" t="str">
        <f t="shared" si="45"/>
        <v>SEM DADOS</v>
      </c>
      <c r="G167" s="129" t="str">
        <f t="shared" si="46"/>
        <v>SEM DADOS</v>
      </c>
      <c r="H167" s="129" t="str">
        <f t="shared" si="47"/>
        <v>SEM DADOS</v>
      </c>
      <c r="I167" s="129" t="str">
        <f t="shared" si="48"/>
        <v>SEM DADOS</v>
      </c>
      <c r="J167" s="129" t="str">
        <f t="shared" si="49"/>
        <v>SEM DADOS</v>
      </c>
      <c r="K167" s="129" t="str">
        <f t="shared" si="50"/>
        <v>SEM DADOS</v>
      </c>
      <c r="L167" s="37" t="str">
        <f t="shared" si="77"/>
        <v>The hardness of 90% of particles shall be within the range of  to  HRC.</v>
      </c>
      <c r="M167" s="130" t="str">
        <f t="shared" si="51"/>
        <v/>
      </c>
      <c r="N167" s="131" t="str">
        <f t="shared" si="52"/>
        <v/>
      </c>
      <c r="O167" s="40" t="str">
        <f t="shared" si="53"/>
        <v/>
      </c>
      <c r="P167" s="130" t="str">
        <f t="shared" si="54"/>
        <v/>
      </c>
      <c r="Q167" s="131" t="str">
        <f t="shared" si="55"/>
        <v/>
      </c>
      <c r="R167" s="129" t="str">
        <f t="shared" si="56"/>
        <v/>
      </c>
      <c r="S167" s="130" t="str">
        <f t="shared" si="57"/>
        <v/>
      </c>
      <c r="T167" s="131" t="str">
        <f t="shared" si="58"/>
        <v/>
      </c>
      <c r="U167" s="129" t="str">
        <f t="shared" si="59"/>
        <v/>
      </c>
      <c r="V167" s="130" t="str">
        <f t="shared" si="60"/>
        <v/>
      </c>
      <c r="W167" s="131" t="str">
        <f t="shared" si="61"/>
        <v/>
      </c>
      <c r="X167" s="129" t="str">
        <f t="shared" si="62"/>
        <v/>
      </c>
      <c r="Y167" s="130" t="str">
        <f t="shared" si="63"/>
        <v/>
      </c>
      <c r="Z167" s="131" t="str">
        <f t="shared" si="64"/>
        <v/>
      </c>
      <c r="AA167" s="129" t="str">
        <f t="shared" si="65"/>
        <v/>
      </c>
      <c r="AB167" s="130" t="str">
        <f t="shared" si="66"/>
        <v/>
      </c>
      <c r="AC167" s="131" t="str">
        <f t="shared" si="67"/>
        <v/>
      </c>
      <c r="AD167" s="129" t="str">
        <f t="shared" si="68"/>
        <v/>
      </c>
      <c r="AE167" s="130" t="str">
        <f t="shared" si="69"/>
        <v/>
      </c>
      <c r="AF167" s="131" t="str">
        <f t="shared" si="70"/>
        <v/>
      </c>
      <c r="AG167" s="129" t="str">
        <f t="shared" si="71"/>
        <v/>
      </c>
      <c r="AH167" s="129" t="str">
        <f t="shared" si="72"/>
        <v/>
      </c>
      <c r="AI167" s="42" t="str">
        <f t="shared" si="73"/>
        <v/>
      </c>
      <c r="AJ167" s="132" t="str">
        <f t="shared" si="74"/>
        <v>SEM DADOS</v>
      </c>
      <c r="AK167" s="145" t="str">
        <f t="shared" si="78"/>
        <v xml:space="preserve"> LINGUA INGLESA</v>
      </c>
      <c r="AL167" s="159">
        <f t="shared" si="75"/>
        <v>0</v>
      </c>
      <c r="AM167" s="141" t="str">
        <f t="shared" si="76"/>
        <v>Sem Dados</v>
      </c>
      <c r="AN167" s="141" t="str">
        <f t="shared" si="79"/>
        <v>0 Sem Dados</v>
      </c>
    </row>
    <row r="168" spans="1:62" ht="33" customHeight="1" x14ac:dyDescent="0.25">
      <c r="A168" s="128" t="str">
        <f t="shared" si="41"/>
        <v/>
      </c>
      <c r="B168" s="37" t="s">
        <v>100</v>
      </c>
      <c r="C168" s="37" t="str">
        <f t="shared" si="42"/>
        <v xml:space="preserve"> LINGUA INGLESA</v>
      </c>
      <c r="D168" s="129" t="str">
        <f t="shared" si="43"/>
        <v>SEM DADOS</v>
      </c>
      <c r="E168" s="129" t="str">
        <f t="shared" si="44"/>
        <v>SEM DADOS</v>
      </c>
      <c r="F168" s="129" t="str">
        <f t="shared" si="45"/>
        <v>SEM DADOS</v>
      </c>
      <c r="G168" s="129" t="str">
        <f t="shared" si="46"/>
        <v>SEM DADOS</v>
      </c>
      <c r="H168" s="129" t="str">
        <f t="shared" si="47"/>
        <v>SEM DADOS</v>
      </c>
      <c r="I168" s="129" t="str">
        <f t="shared" si="48"/>
        <v>SEM DADOS</v>
      </c>
      <c r="J168" s="129" t="str">
        <f t="shared" si="49"/>
        <v>SEM DADOS</v>
      </c>
      <c r="K168" s="129" t="str">
        <f t="shared" si="50"/>
        <v>SEM DADOS</v>
      </c>
      <c r="L168" s="37" t="str">
        <f t="shared" si="77"/>
        <v>The hardness of 90% of particles shall be within the range of  to  HRC.</v>
      </c>
      <c r="M168" s="130" t="str">
        <f t="shared" si="51"/>
        <v/>
      </c>
      <c r="N168" s="131" t="str">
        <f t="shared" si="52"/>
        <v/>
      </c>
      <c r="O168" s="40" t="str">
        <f t="shared" si="53"/>
        <v/>
      </c>
      <c r="P168" s="130" t="str">
        <f t="shared" si="54"/>
        <v/>
      </c>
      <c r="Q168" s="131" t="str">
        <f t="shared" si="55"/>
        <v/>
      </c>
      <c r="R168" s="129" t="str">
        <f t="shared" si="56"/>
        <v/>
      </c>
      <c r="S168" s="130" t="str">
        <f t="shared" si="57"/>
        <v/>
      </c>
      <c r="T168" s="131" t="str">
        <f t="shared" si="58"/>
        <v/>
      </c>
      <c r="U168" s="129" t="str">
        <f t="shared" si="59"/>
        <v/>
      </c>
      <c r="V168" s="130" t="str">
        <f t="shared" si="60"/>
        <v/>
      </c>
      <c r="W168" s="131" t="str">
        <f t="shared" si="61"/>
        <v/>
      </c>
      <c r="X168" s="129" t="str">
        <f t="shared" si="62"/>
        <v/>
      </c>
      <c r="Y168" s="130" t="str">
        <f t="shared" si="63"/>
        <v/>
      </c>
      <c r="Z168" s="131" t="str">
        <f t="shared" si="64"/>
        <v/>
      </c>
      <c r="AA168" s="129" t="str">
        <f t="shared" si="65"/>
        <v/>
      </c>
      <c r="AB168" s="130" t="str">
        <f t="shared" si="66"/>
        <v/>
      </c>
      <c r="AC168" s="131" t="str">
        <f t="shared" si="67"/>
        <v/>
      </c>
      <c r="AD168" s="129" t="str">
        <f t="shared" si="68"/>
        <v/>
      </c>
      <c r="AE168" s="130" t="str">
        <f t="shared" si="69"/>
        <v/>
      </c>
      <c r="AF168" s="131" t="str">
        <f t="shared" si="70"/>
        <v/>
      </c>
      <c r="AG168" s="129" t="str">
        <f t="shared" si="71"/>
        <v/>
      </c>
      <c r="AH168" s="129" t="str">
        <f t="shared" si="72"/>
        <v/>
      </c>
      <c r="AI168" s="42" t="str">
        <f t="shared" si="73"/>
        <v/>
      </c>
      <c r="AJ168" s="132" t="str">
        <f t="shared" si="74"/>
        <v>SEM DADOS</v>
      </c>
      <c r="AK168" s="145" t="str">
        <f t="shared" si="78"/>
        <v xml:space="preserve"> LINGUA INGLESA</v>
      </c>
      <c r="AL168" s="159">
        <f t="shared" si="75"/>
        <v>0</v>
      </c>
      <c r="AM168" s="141" t="str">
        <f t="shared" si="76"/>
        <v>Sem Dados</v>
      </c>
      <c r="AN168" s="141" t="str">
        <f t="shared" si="79"/>
        <v>0 Sem Dados</v>
      </c>
    </row>
    <row r="169" spans="1:62" ht="15.75" x14ac:dyDescent="0.25">
      <c r="A169" s="128" t="str">
        <f t="shared" si="41"/>
        <v/>
      </c>
      <c r="B169" s="37" t="s">
        <v>100</v>
      </c>
      <c r="C169" s="37" t="str">
        <f t="shared" si="42"/>
        <v xml:space="preserve"> LINGUA INGLESA</v>
      </c>
      <c r="D169" s="129" t="str">
        <f t="shared" si="43"/>
        <v>SEM DADOS</v>
      </c>
      <c r="E169" s="129" t="str">
        <f t="shared" si="44"/>
        <v>SEM DADOS</v>
      </c>
      <c r="F169" s="129" t="str">
        <f t="shared" si="45"/>
        <v>SEM DADOS</v>
      </c>
      <c r="G169" s="129" t="str">
        <f t="shared" si="46"/>
        <v>SEM DADOS</v>
      </c>
      <c r="H169" s="129" t="str">
        <f t="shared" si="47"/>
        <v>SEM DADOS</v>
      </c>
      <c r="I169" s="129" t="str">
        <f t="shared" si="48"/>
        <v>SEM DADOS</v>
      </c>
      <c r="J169" s="129" t="str">
        <f t="shared" si="49"/>
        <v>SEM DADOS</v>
      </c>
      <c r="K169" s="129" t="str">
        <f t="shared" si="50"/>
        <v>SEM DADOS</v>
      </c>
      <c r="L169" s="37" t="str">
        <f t="shared" si="77"/>
        <v>The hardness of 90% of particles shall be within the range of  to  HRC.</v>
      </c>
      <c r="M169" s="130" t="str">
        <f t="shared" si="51"/>
        <v/>
      </c>
      <c r="N169" s="131" t="str">
        <f t="shared" si="52"/>
        <v/>
      </c>
      <c r="O169" s="40" t="str">
        <f t="shared" si="53"/>
        <v/>
      </c>
      <c r="P169" s="130" t="str">
        <f t="shared" si="54"/>
        <v/>
      </c>
      <c r="Q169" s="131" t="str">
        <f t="shared" si="55"/>
        <v/>
      </c>
      <c r="R169" s="129" t="str">
        <f t="shared" si="56"/>
        <v/>
      </c>
      <c r="S169" s="130" t="str">
        <f t="shared" si="57"/>
        <v/>
      </c>
      <c r="T169" s="131" t="str">
        <f t="shared" si="58"/>
        <v/>
      </c>
      <c r="U169" s="129" t="str">
        <f t="shared" si="59"/>
        <v/>
      </c>
      <c r="V169" s="130" t="str">
        <f t="shared" si="60"/>
        <v/>
      </c>
      <c r="W169" s="131" t="str">
        <f t="shared" si="61"/>
        <v/>
      </c>
      <c r="X169" s="129" t="str">
        <f t="shared" si="62"/>
        <v/>
      </c>
      <c r="Y169" s="130" t="str">
        <f t="shared" si="63"/>
        <v/>
      </c>
      <c r="Z169" s="131" t="str">
        <f t="shared" si="64"/>
        <v/>
      </c>
      <c r="AA169" s="129" t="str">
        <f t="shared" si="65"/>
        <v/>
      </c>
      <c r="AB169" s="130" t="str">
        <f t="shared" si="66"/>
        <v/>
      </c>
      <c r="AC169" s="131" t="str">
        <f t="shared" si="67"/>
        <v/>
      </c>
      <c r="AD169" s="129" t="str">
        <f t="shared" si="68"/>
        <v/>
      </c>
      <c r="AE169" s="130" t="str">
        <f t="shared" si="69"/>
        <v/>
      </c>
      <c r="AF169" s="131" t="str">
        <f t="shared" si="70"/>
        <v/>
      </c>
      <c r="AG169" s="129" t="str">
        <f t="shared" si="71"/>
        <v/>
      </c>
      <c r="AH169" s="129" t="str">
        <f t="shared" si="72"/>
        <v/>
      </c>
      <c r="AI169" s="42" t="str">
        <f t="shared" si="73"/>
        <v/>
      </c>
      <c r="AJ169" s="132" t="str">
        <f t="shared" si="74"/>
        <v>SEM DADOS</v>
      </c>
      <c r="AK169" s="145" t="str">
        <f t="shared" si="78"/>
        <v xml:space="preserve"> LINGUA INGLESA</v>
      </c>
      <c r="AL169" s="159">
        <f t="shared" si="75"/>
        <v>0</v>
      </c>
      <c r="AM169" s="141" t="str">
        <f t="shared" si="76"/>
        <v>Sem Dados</v>
      </c>
      <c r="AN169" s="141" t="str">
        <f t="shared" si="79"/>
        <v>0 Sem Dados</v>
      </c>
    </row>
    <row r="170" spans="1:62" ht="15.75" x14ac:dyDescent="0.25">
      <c r="A170" s="128" t="str">
        <f t="shared" si="41"/>
        <v/>
      </c>
      <c r="B170" s="37" t="s">
        <v>100</v>
      </c>
      <c r="C170" s="37" t="str">
        <f t="shared" si="42"/>
        <v xml:space="preserve"> LINGUA INGLESA</v>
      </c>
      <c r="D170" s="129" t="str">
        <f t="shared" si="43"/>
        <v>SEM DADOS</v>
      </c>
      <c r="E170" s="129" t="str">
        <f t="shared" si="44"/>
        <v>SEM DADOS</v>
      </c>
      <c r="F170" s="129" t="str">
        <f t="shared" si="45"/>
        <v>SEM DADOS</v>
      </c>
      <c r="G170" s="129" t="str">
        <f t="shared" si="46"/>
        <v>SEM DADOS</v>
      </c>
      <c r="H170" s="129" t="str">
        <f t="shared" si="47"/>
        <v>SEM DADOS</v>
      </c>
      <c r="I170" s="129" t="str">
        <f t="shared" si="48"/>
        <v>SEM DADOS</v>
      </c>
      <c r="J170" s="129" t="str">
        <f t="shared" si="49"/>
        <v>SEM DADOS</v>
      </c>
      <c r="K170" s="129" t="str">
        <f t="shared" si="50"/>
        <v>SEM DADOS</v>
      </c>
      <c r="L170" s="37" t="str">
        <f t="shared" si="77"/>
        <v>The hardness of 90% of particles shall be within the range of  to  HRC.</v>
      </c>
      <c r="M170" s="130" t="str">
        <f t="shared" si="51"/>
        <v/>
      </c>
      <c r="N170" s="131" t="str">
        <f t="shared" si="52"/>
        <v/>
      </c>
      <c r="O170" s="40" t="str">
        <f t="shared" si="53"/>
        <v/>
      </c>
      <c r="P170" s="130" t="str">
        <f t="shared" si="54"/>
        <v/>
      </c>
      <c r="Q170" s="131" t="str">
        <f t="shared" si="55"/>
        <v/>
      </c>
      <c r="R170" s="129" t="str">
        <f t="shared" si="56"/>
        <v/>
      </c>
      <c r="S170" s="130" t="str">
        <f t="shared" si="57"/>
        <v/>
      </c>
      <c r="T170" s="131" t="str">
        <f t="shared" si="58"/>
        <v/>
      </c>
      <c r="U170" s="129" t="str">
        <f t="shared" si="59"/>
        <v/>
      </c>
      <c r="V170" s="130" t="str">
        <f t="shared" si="60"/>
        <v/>
      </c>
      <c r="W170" s="131" t="str">
        <f t="shared" si="61"/>
        <v/>
      </c>
      <c r="X170" s="129" t="str">
        <f t="shared" si="62"/>
        <v/>
      </c>
      <c r="Y170" s="130" t="str">
        <f t="shared" si="63"/>
        <v/>
      </c>
      <c r="Z170" s="131" t="str">
        <f t="shared" si="64"/>
        <v/>
      </c>
      <c r="AA170" s="129" t="str">
        <f t="shared" si="65"/>
        <v/>
      </c>
      <c r="AB170" s="130" t="str">
        <f t="shared" si="66"/>
        <v/>
      </c>
      <c r="AC170" s="131" t="str">
        <f t="shared" si="67"/>
        <v/>
      </c>
      <c r="AD170" s="129" t="str">
        <f t="shared" si="68"/>
        <v/>
      </c>
      <c r="AE170" s="130" t="str">
        <f t="shared" si="69"/>
        <v/>
      </c>
      <c r="AF170" s="131" t="str">
        <f t="shared" si="70"/>
        <v/>
      </c>
      <c r="AG170" s="129" t="str">
        <f t="shared" si="71"/>
        <v/>
      </c>
      <c r="AH170" s="129" t="str">
        <f t="shared" si="72"/>
        <v/>
      </c>
      <c r="AI170" s="42" t="str">
        <f t="shared" si="73"/>
        <v/>
      </c>
      <c r="AJ170" s="132" t="str">
        <f t="shared" si="74"/>
        <v>SEM DADOS</v>
      </c>
      <c r="AK170" s="145" t="str">
        <f t="shared" si="78"/>
        <v xml:space="preserve"> LINGUA INGLESA</v>
      </c>
      <c r="AL170" s="159">
        <f t="shared" si="75"/>
        <v>0</v>
      </c>
      <c r="AM170" s="141" t="str">
        <f t="shared" si="76"/>
        <v>Sem Dados</v>
      </c>
      <c r="AN170" s="141" t="str">
        <f t="shared" si="79"/>
        <v>0 Sem Dados</v>
      </c>
    </row>
    <row r="171" spans="1:62" ht="15.75" x14ac:dyDescent="0.25">
      <c r="A171" s="128" t="str">
        <f t="shared" si="41"/>
        <v/>
      </c>
      <c r="B171" s="37" t="s">
        <v>100</v>
      </c>
      <c r="C171" s="37" t="str">
        <f t="shared" si="42"/>
        <v xml:space="preserve"> LINGUA INGLESA</v>
      </c>
      <c r="D171" s="129" t="str">
        <f t="shared" si="43"/>
        <v>SEM DADOS</v>
      </c>
      <c r="E171" s="129" t="str">
        <f t="shared" si="44"/>
        <v>SEM DADOS</v>
      </c>
      <c r="F171" s="129" t="str">
        <f t="shared" si="45"/>
        <v>SEM DADOS</v>
      </c>
      <c r="G171" s="129" t="str">
        <f t="shared" si="46"/>
        <v>SEM DADOS</v>
      </c>
      <c r="H171" s="129" t="str">
        <f t="shared" si="47"/>
        <v>SEM DADOS</v>
      </c>
      <c r="I171" s="129" t="str">
        <f t="shared" si="48"/>
        <v>SEM DADOS</v>
      </c>
      <c r="J171" s="129" t="str">
        <f t="shared" si="49"/>
        <v>SEM DADOS</v>
      </c>
      <c r="K171" s="129" t="str">
        <f t="shared" si="50"/>
        <v>SEM DADOS</v>
      </c>
      <c r="L171" s="37" t="str">
        <f t="shared" si="77"/>
        <v>The hardness of 90% of particles shall be within the range of  to  HRC.</v>
      </c>
      <c r="M171" s="130" t="str">
        <f t="shared" si="51"/>
        <v/>
      </c>
      <c r="N171" s="131" t="str">
        <f t="shared" si="52"/>
        <v/>
      </c>
      <c r="O171" s="40" t="str">
        <f t="shared" si="53"/>
        <v/>
      </c>
      <c r="P171" s="130" t="str">
        <f t="shared" si="54"/>
        <v/>
      </c>
      <c r="Q171" s="131" t="str">
        <f t="shared" si="55"/>
        <v/>
      </c>
      <c r="R171" s="129" t="str">
        <f t="shared" si="56"/>
        <v/>
      </c>
      <c r="S171" s="130" t="str">
        <f t="shared" si="57"/>
        <v/>
      </c>
      <c r="T171" s="131" t="str">
        <f t="shared" si="58"/>
        <v/>
      </c>
      <c r="U171" s="129" t="str">
        <f t="shared" si="59"/>
        <v/>
      </c>
      <c r="V171" s="130" t="str">
        <f t="shared" si="60"/>
        <v/>
      </c>
      <c r="W171" s="131" t="str">
        <f t="shared" si="61"/>
        <v/>
      </c>
      <c r="X171" s="129" t="str">
        <f t="shared" si="62"/>
        <v/>
      </c>
      <c r="Y171" s="130" t="str">
        <f t="shared" si="63"/>
        <v/>
      </c>
      <c r="Z171" s="131" t="str">
        <f t="shared" si="64"/>
        <v/>
      </c>
      <c r="AA171" s="129" t="str">
        <f t="shared" si="65"/>
        <v/>
      </c>
      <c r="AB171" s="130" t="str">
        <f t="shared" si="66"/>
        <v/>
      </c>
      <c r="AC171" s="131" t="str">
        <f t="shared" si="67"/>
        <v/>
      </c>
      <c r="AD171" s="129" t="str">
        <f t="shared" si="68"/>
        <v/>
      </c>
      <c r="AE171" s="130" t="str">
        <f t="shared" si="69"/>
        <v/>
      </c>
      <c r="AF171" s="131" t="str">
        <f t="shared" si="70"/>
        <v/>
      </c>
      <c r="AG171" s="129" t="str">
        <f t="shared" si="71"/>
        <v/>
      </c>
      <c r="AH171" s="129" t="str">
        <f t="shared" si="72"/>
        <v/>
      </c>
      <c r="AI171" s="42" t="str">
        <f t="shared" si="73"/>
        <v/>
      </c>
      <c r="AJ171" s="132" t="str">
        <f t="shared" si="74"/>
        <v>SEM DADOS</v>
      </c>
      <c r="AK171" s="145" t="str">
        <f t="shared" si="78"/>
        <v xml:space="preserve"> LINGUA INGLESA</v>
      </c>
      <c r="AL171" s="159">
        <f t="shared" si="75"/>
        <v>0</v>
      </c>
      <c r="AM171" s="141" t="str">
        <f t="shared" si="76"/>
        <v>Sem Dados</v>
      </c>
      <c r="AN171" s="141" t="str">
        <f t="shared" si="79"/>
        <v>0 Sem Dados</v>
      </c>
    </row>
    <row r="172" spans="1:62" ht="15.75" x14ac:dyDescent="0.25">
      <c r="A172" s="128" t="str">
        <f t="shared" si="41"/>
        <v/>
      </c>
      <c r="B172" s="37" t="s">
        <v>100</v>
      </c>
      <c r="C172" s="37" t="str">
        <f t="shared" si="42"/>
        <v xml:space="preserve"> LINGUA INGLESA</v>
      </c>
      <c r="D172" s="129" t="str">
        <f t="shared" si="43"/>
        <v>SEM DADOS</v>
      </c>
      <c r="E172" s="129" t="str">
        <f t="shared" si="44"/>
        <v>SEM DADOS</v>
      </c>
      <c r="F172" s="129" t="str">
        <f t="shared" si="45"/>
        <v>SEM DADOS</v>
      </c>
      <c r="G172" s="129" t="str">
        <f t="shared" si="46"/>
        <v>SEM DADOS</v>
      </c>
      <c r="H172" s="129" t="str">
        <f t="shared" si="47"/>
        <v>SEM DADOS</v>
      </c>
      <c r="I172" s="129" t="str">
        <f t="shared" si="48"/>
        <v>SEM DADOS</v>
      </c>
      <c r="J172" s="129" t="str">
        <f t="shared" si="49"/>
        <v>SEM DADOS</v>
      </c>
      <c r="K172" s="129" t="str">
        <f t="shared" si="50"/>
        <v>SEM DADOS</v>
      </c>
      <c r="L172" s="37" t="str">
        <f t="shared" si="77"/>
        <v>The hardness of 90% of particles shall be within the range of  to  HRC.</v>
      </c>
      <c r="M172" s="130" t="str">
        <f t="shared" si="51"/>
        <v/>
      </c>
      <c r="N172" s="131" t="str">
        <f t="shared" si="52"/>
        <v/>
      </c>
      <c r="O172" s="40" t="str">
        <f t="shared" si="53"/>
        <v/>
      </c>
      <c r="P172" s="130" t="str">
        <f t="shared" si="54"/>
        <v/>
      </c>
      <c r="Q172" s="131" t="str">
        <f t="shared" si="55"/>
        <v/>
      </c>
      <c r="R172" s="129" t="str">
        <f t="shared" si="56"/>
        <v/>
      </c>
      <c r="S172" s="130" t="str">
        <f t="shared" si="57"/>
        <v/>
      </c>
      <c r="T172" s="131" t="str">
        <f t="shared" si="58"/>
        <v/>
      </c>
      <c r="U172" s="129" t="str">
        <f t="shared" si="59"/>
        <v/>
      </c>
      <c r="V172" s="130" t="str">
        <f t="shared" si="60"/>
        <v/>
      </c>
      <c r="W172" s="131" t="str">
        <f t="shared" si="61"/>
        <v/>
      </c>
      <c r="X172" s="129" t="str">
        <f t="shared" si="62"/>
        <v/>
      </c>
      <c r="Y172" s="130" t="str">
        <f t="shared" si="63"/>
        <v/>
      </c>
      <c r="Z172" s="131" t="str">
        <f t="shared" si="64"/>
        <v/>
      </c>
      <c r="AA172" s="129" t="str">
        <f t="shared" si="65"/>
        <v/>
      </c>
      <c r="AB172" s="130" t="str">
        <f t="shared" si="66"/>
        <v/>
      </c>
      <c r="AC172" s="131" t="str">
        <f t="shared" si="67"/>
        <v/>
      </c>
      <c r="AD172" s="129" t="str">
        <f t="shared" si="68"/>
        <v/>
      </c>
      <c r="AE172" s="130" t="str">
        <f t="shared" si="69"/>
        <v/>
      </c>
      <c r="AF172" s="131" t="str">
        <f t="shared" si="70"/>
        <v/>
      </c>
      <c r="AG172" s="129" t="str">
        <f t="shared" si="71"/>
        <v/>
      </c>
      <c r="AH172" s="129" t="str">
        <f t="shared" si="72"/>
        <v/>
      </c>
      <c r="AI172" s="42" t="str">
        <f t="shared" si="73"/>
        <v/>
      </c>
      <c r="AJ172" s="132" t="str">
        <f t="shared" si="74"/>
        <v>SEM DADOS</v>
      </c>
      <c r="AK172" s="145" t="str">
        <f t="shared" si="78"/>
        <v xml:space="preserve"> LINGUA INGLESA</v>
      </c>
      <c r="AL172" s="159">
        <f t="shared" si="75"/>
        <v>0</v>
      </c>
      <c r="AM172" s="141" t="str">
        <f t="shared" si="76"/>
        <v>Sem Dados</v>
      </c>
      <c r="AN172" s="141" t="str">
        <f t="shared" si="79"/>
        <v>0 Sem Dados</v>
      </c>
    </row>
    <row r="173" spans="1:62" ht="15.75" x14ac:dyDescent="0.25">
      <c r="A173" s="128" t="str">
        <f t="shared" si="41"/>
        <v/>
      </c>
      <c r="B173" s="37" t="s">
        <v>100</v>
      </c>
      <c r="C173" s="37" t="str">
        <f t="shared" si="42"/>
        <v xml:space="preserve"> LINGUA INGLESA</v>
      </c>
      <c r="D173" s="129" t="str">
        <f t="shared" si="43"/>
        <v>SEM DADOS</v>
      </c>
      <c r="E173" s="129" t="str">
        <f t="shared" si="44"/>
        <v>SEM DADOS</v>
      </c>
      <c r="F173" s="129" t="str">
        <f t="shared" si="45"/>
        <v>SEM DADOS</v>
      </c>
      <c r="G173" s="129" t="str">
        <f t="shared" si="46"/>
        <v>SEM DADOS</v>
      </c>
      <c r="H173" s="129" t="str">
        <f t="shared" si="47"/>
        <v>SEM DADOS</v>
      </c>
      <c r="I173" s="129" t="str">
        <f t="shared" si="48"/>
        <v>SEM DADOS</v>
      </c>
      <c r="J173" s="129" t="str">
        <f t="shared" si="49"/>
        <v>SEM DADOS</v>
      </c>
      <c r="K173" s="129" t="str">
        <f t="shared" si="50"/>
        <v>SEM DADOS</v>
      </c>
      <c r="L173" s="37" t="str">
        <f t="shared" si="77"/>
        <v>The hardness of 90% of particles shall be within the range of  to  HRC.</v>
      </c>
      <c r="M173" s="130" t="str">
        <f t="shared" si="51"/>
        <v/>
      </c>
      <c r="N173" s="131" t="str">
        <f t="shared" si="52"/>
        <v/>
      </c>
      <c r="O173" s="40" t="str">
        <f t="shared" si="53"/>
        <v/>
      </c>
      <c r="P173" s="130" t="str">
        <f t="shared" si="54"/>
        <v/>
      </c>
      <c r="Q173" s="131" t="str">
        <f t="shared" si="55"/>
        <v/>
      </c>
      <c r="R173" s="129" t="str">
        <f t="shared" si="56"/>
        <v/>
      </c>
      <c r="S173" s="130" t="str">
        <f t="shared" si="57"/>
        <v/>
      </c>
      <c r="T173" s="131" t="str">
        <f t="shared" si="58"/>
        <v/>
      </c>
      <c r="U173" s="129" t="str">
        <f t="shared" si="59"/>
        <v/>
      </c>
      <c r="V173" s="130" t="str">
        <f t="shared" si="60"/>
        <v/>
      </c>
      <c r="W173" s="131" t="str">
        <f t="shared" si="61"/>
        <v/>
      </c>
      <c r="X173" s="129" t="str">
        <f t="shared" si="62"/>
        <v/>
      </c>
      <c r="Y173" s="130" t="str">
        <f t="shared" si="63"/>
        <v/>
      </c>
      <c r="Z173" s="131" t="str">
        <f t="shared" si="64"/>
        <v/>
      </c>
      <c r="AA173" s="129" t="str">
        <f t="shared" si="65"/>
        <v/>
      </c>
      <c r="AB173" s="130" t="str">
        <f t="shared" si="66"/>
        <v/>
      </c>
      <c r="AC173" s="131" t="str">
        <f t="shared" si="67"/>
        <v/>
      </c>
      <c r="AD173" s="129" t="str">
        <f t="shared" si="68"/>
        <v/>
      </c>
      <c r="AE173" s="130" t="str">
        <f t="shared" si="69"/>
        <v/>
      </c>
      <c r="AF173" s="131" t="str">
        <f t="shared" si="70"/>
        <v/>
      </c>
      <c r="AG173" s="129" t="str">
        <f t="shared" si="71"/>
        <v/>
      </c>
      <c r="AH173" s="129" t="str">
        <f t="shared" si="72"/>
        <v/>
      </c>
      <c r="AI173" s="42" t="str">
        <f t="shared" si="73"/>
        <v/>
      </c>
      <c r="AJ173" s="132" t="str">
        <f t="shared" si="74"/>
        <v>SEM DADOS</v>
      </c>
      <c r="AK173" s="145" t="str">
        <f t="shared" si="78"/>
        <v xml:space="preserve"> LINGUA INGLESA</v>
      </c>
      <c r="AL173" s="159">
        <f t="shared" si="75"/>
        <v>0</v>
      </c>
      <c r="AM173" s="141" t="str">
        <f t="shared" si="76"/>
        <v>Sem Dados</v>
      </c>
      <c r="AN173" s="141" t="str">
        <f t="shared" si="79"/>
        <v>0 Sem Dados</v>
      </c>
    </row>
    <row r="174" spans="1:62" ht="15.75" x14ac:dyDescent="0.25">
      <c r="A174" s="128" t="str">
        <f t="shared" si="41"/>
        <v/>
      </c>
      <c r="B174" s="37" t="s">
        <v>100</v>
      </c>
      <c r="C174" s="37" t="str">
        <f t="shared" si="42"/>
        <v xml:space="preserve"> LINGUA INGLESA</v>
      </c>
      <c r="D174" s="129" t="str">
        <f t="shared" si="43"/>
        <v>SEM DADOS</v>
      </c>
      <c r="E174" s="129" t="str">
        <f t="shared" si="44"/>
        <v>SEM DADOS</v>
      </c>
      <c r="F174" s="129" t="str">
        <f t="shared" si="45"/>
        <v>SEM DADOS</v>
      </c>
      <c r="G174" s="129" t="str">
        <f t="shared" si="46"/>
        <v>SEM DADOS</v>
      </c>
      <c r="H174" s="129" t="str">
        <f t="shared" si="47"/>
        <v>SEM DADOS</v>
      </c>
      <c r="I174" s="129" t="str">
        <f t="shared" si="48"/>
        <v>SEM DADOS</v>
      </c>
      <c r="J174" s="129" t="str">
        <f t="shared" si="49"/>
        <v>SEM DADOS</v>
      </c>
      <c r="K174" s="129" t="str">
        <f t="shared" si="50"/>
        <v>SEM DADOS</v>
      </c>
      <c r="L174" s="37" t="str">
        <f t="shared" si="77"/>
        <v>The hardness of 90% of particles shall be within the range of  to  HRC.</v>
      </c>
      <c r="M174" s="130" t="str">
        <f t="shared" si="51"/>
        <v/>
      </c>
      <c r="N174" s="131" t="str">
        <f t="shared" si="52"/>
        <v/>
      </c>
      <c r="O174" s="40" t="str">
        <f t="shared" si="53"/>
        <v/>
      </c>
      <c r="P174" s="130" t="str">
        <f t="shared" si="54"/>
        <v/>
      </c>
      <c r="Q174" s="131" t="str">
        <f t="shared" si="55"/>
        <v/>
      </c>
      <c r="R174" s="129" t="str">
        <f t="shared" si="56"/>
        <v/>
      </c>
      <c r="S174" s="130" t="str">
        <f t="shared" si="57"/>
        <v/>
      </c>
      <c r="T174" s="131" t="str">
        <f t="shared" si="58"/>
        <v/>
      </c>
      <c r="U174" s="129" t="str">
        <f t="shared" si="59"/>
        <v/>
      </c>
      <c r="V174" s="130" t="str">
        <f t="shared" si="60"/>
        <v/>
      </c>
      <c r="W174" s="131" t="str">
        <f t="shared" si="61"/>
        <v/>
      </c>
      <c r="X174" s="129" t="str">
        <f t="shared" si="62"/>
        <v/>
      </c>
      <c r="Y174" s="130" t="str">
        <f t="shared" si="63"/>
        <v/>
      </c>
      <c r="Z174" s="131" t="str">
        <f t="shared" si="64"/>
        <v/>
      </c>
      <c r="AA174" s="129" t="str">
        <f t="shared" si="65"/>
        <v/>
      </c>
      <c r="AB174" s="130" t="str">
        <f t="shared" si="66"/>
        <v/>
      </c>
      <c r="AC174" s="131" t="str">
        <f t="shared" si="67"/>
        <v/>
      </c>
      <c r="AD174" s="129" t="str">
        <f t="shared" si="68"/>
        <v/>
      </c>
      <c r="AE174" s="130" t="str">
        <f t="shared" si="69"/>
        <v/>
      </c>
      <c r="AF174" s="131" t="str">
        <f t="shared" si="70"/>
        <v/>
      </c>
      <c r="AG174" s="129" t="str">
        <f t="shared" si="71"/>
        <v/>
      </c>
      <c r="AH174" s="129" t="str">
        <f t="shared" si="72"/>
        <v/>
      </c>
      <c r="AI174" s="42" t="str">
        <f t="shared" si="73"/>
        <v/>
      </c>
      <c r="AJ174" s="132" t="str">
        <f t="shared" si="74"/>
        <v>SEM DADOS</v>
      </c>
      <c r="AK174" s="145" t="str">
        <f t="shared" si="78"/>
        <v xml:space="preserve"> LINGUA INGLESA</v>
      </c>
      <c r="AL174" s="159">
        <f t="shared" si="75"/>
        <v>0</v>
      </c>
      <c r="AM174" s="141" t="str">
        <f t="shared" si="76"/>
        <v>Sem Dados</v>
      </c>
      <c r="AN174" s="141" t="str">
        <f t="shared" si="79"/>
        <v>0 Sem Dados</v>
      </c>
    </row>
    <row r="175" spans="1:62" ht="15.75" x14ac:dyDescent="0.25">
      <c r="A175" s="128" t="str">
        <f t="shared" si="41"/>
        <v/>
      </c>
      <c r="B175" s="37" t="s">
        <v>100</v>
      </c>
      <c r="C175" s="37" t="str">
        <f t="shared" si="42"/>
        <v xml:space="preserve"> LINGUA INGLESA</v>
      </c>
      <c r="D175" s="129" t="str">
        <f t="shared" si="43"/>
        <v>SEM DADOS</v>
      </c>
      <c r="E175" s="129" t="str">
        <f t="shared" si="44"/>
        <v>SEM DADOS</v>
      </c>
      <c r="F175" s="129" t="str">
        <f t="shared" si="45"/>
        <v>SEM DADOS</v>
      </c>
      <c r="G175" s="129" t="str">
        <f t="shared" si="46"/>
        <v>SEM DADOS</v>
      </c>
      <c r="H175" s="129" t="str">
        <f t="shared" si="47"/>
        <v>SEM DADOS</v>
      </c>
      <c r="I175" s="129" t="str">
        <f t="shared" si="48"/>
        <v>SEM DADOS</v>
      </c>
      <c r="J175" s="129" t="str">
        <f t="shared" si="49"/>
        <v>SEM DADOS</v>
      </c>
      <c r="K175" s="129" t="str">
        <f t="shared" si="50"/>
        <v>SEM DADOS</v>
      </c>
      <c r="L175" s="37" t="str">
        <f t="shared" si="77"/>
        <v>The hardness of 90% of particles shall be within the range of  to  HRC.</v>
      </c>
      <c r="M175" s="130" t="str">
        <f t="shared" si="51"/>
        <v/>
      </c>
      <c r="N175" s="131" t="str">
        <f t="shared" si="52"/>
        <v/>
      </c>
      <c r="O175" s="40" t="str">
        <f t="shared" si="53"/>
        <v/>
      </c>
      <c r="P175" s="130" t="str">
        <f t="shared" si="54"/>
        <v/>
      </c>
      <c r="Q175" s="131" t="str">
        <f t="shared" si="55"/>
        <v/>
      </c>
      <c r="R175" s="129" t="str">
        <f t="shared" si="56"/>
        <v/>
      </c>
      <c r="S175" s="130" t="str">
        <f t="shared" si="57"/>
        <v/>
      </c>
      <c r="T175" s="131" t="str">
        <f t="shared" si="58"/>
        <v/>
      </c>
      <c r="U175" s="129" t="str">
        <f t="shared" si="59"/>
        <v/>
      </c>
      <c r="V175" s="130" t="str">
        <f t="shared" si="60"/>
        <v/>
      </c>
      <c r="W175" s="131" t="str">
        <f t="shared" si="61"/>
        <v/>
      </c>
      <c r="X175" s="129" t="str">
        <f t="shared" si="62"/>
        <v/>
      </c>
      <c r="Y175" s="130" t="str">
        <f t="shared" si="63"/>
        <v/>
      </c>
      <c r="Z175" s="131" t="str">
        <f t="shared" si="64"/>
        <v/>
      </c>
      <c r="AA175" s="129" t="str">
        <f t="shared" si="65"/>
        <v/>
      </c>
      <c r="AB175" s="130" t="str">
        <f t="shared" si="66"/>
        <v/>
      </c>
      <c r="AC175" s="131" t="str">
        <f t="shared" si="67"/>
        <v/>
      </c>
      <c r="AD175" s="129" t="str">
        <f t="shared" si="68"/>
        <v/>
      </c>
      <c r="AE175" s="130" t="str">
        <f t="shared" si="69"/>
        <v/>
      </c>
      <c r="AF175" s="131" t="str">
        <f t="shared" si="70"/>
        <v/>
      </c>
      <c r="AG175" s="129" t="str">
        <f t="shared" si="71"/>
        <v/>
      </c>
      <c r="AH175" s="129" t="str">
        <f t="shared" si="72"/>
        <v/>
      </c>
      <c r="AI175" s="42" t="str">
        <f t="shared" si="73"/>
        <v/>
      </c>
      <c r="AJ175" s="132" t="str">
        <f t="shared" si="74"/>
        <v>SEM DADOS</v>
      </c>
      <c r="AK175" s="145" t="str">
        <f t="shared" si="78"/>
        <v xml:space="preserve"> LINGUA INGLESA</v>
      </c>
      <c r="AL175" s="159">
        <f t="shared" si="75"/>
        <v>0</v>
      </c>
      <c r="AM175" s="141" t="str">
        <f t="shared" si="76"/>
        <v>Sem Dados</v>
      </c>
      <c r="AN175" s="141" t="str">
        <f t="shared" si="79"/>
        <v>0 Sem Dados</v>
      </c>
    </row>
    <row r="176" spans="1:62" ht="15.75" x14ac:dyDescent="0.25">
      <c r="A176" s="128" t="str">
        <f t="shared" si="41"/>
        <v/>
      </c>
      <c r="B176" s="37" t="s">
        <v>100</v>
      </c>
      <c r="C176" s="37" t="str">
        <f t="shared" si="42"/>
        <v xml:space="preserve"> LINGUA INGLESA</v>
      </c>
      <c r="D176" s="129" t="str">
        <f t="shared" si="43"/>
        <v>SEM DADOS</v>
      </c>
      <c r="E176" s="129" t="str">
        <f t="shared" si="44"/>
        <v>SEM DADOS</v>
      </c>
      <c r="F176" s="129" t="str">
        <f t="shared" si="45"/>
        <v>SEM DADOS</v>
      </c>
      <c r="G176" s="129" t="str">
        <f t="shared" si="46"/>
        <v>SEM DADOS</v>
      </c>
      <c r="H176" s="129" t="str">
        <f t="shared" si="47"/>
        <v>SEM DADOS</v>
      </c>
      <c r="I176" s="129" t="str">
        <f t="shared" si="48"/>
        <v>SEM DADOS</v>
      </c>
      <c r="J176" s="129" t="str">
        <f t="shared" si="49"/>
        <v>SEM DADOS</v>
      </c>
      <c r="K176" s="129" t="str">
        <f t="shared" si="50"/>
        <v>SEM DADOS</v>
      </c>
      <c r="L176" s="37" t="str">
        <f t="shared" si="77"/>
        <v>The hardness of 90% of particles shall be within the range of  to  HRC.</v>
      </c>
      <c r="M176" s="130" t="str">
        <f t="shared" si="51"/>
        <v/>
      </c>
      <c r="N176" s="131" t="str">
        <f t="shared" si="52"/>
        <v/>
      </c>
      <c r="O176" s="40" t="str">
        <f t="shared" si="53"/>
        <v/>
      </c>
      <c r="P176" s="130" t="str">
        <f t="shared" si="54"/>
        <v/>
      </c>
      <c r="Q176" s="131" t="str">
        <f t="shared" si="55"/>
        <v/>
      </c>
      <c r="R176" s="129" t="str">
        <f t="shared" si="56"/>
        <v/>
      </c>
      <c r="S176" s="130" t="str">
        <f t="shared" si="57"/>
        <v/>
      </c>
      <c r="T176" s="131" t="str">
        <f t="shared" si="58"/>
        <v/>
      </c>
      <c r="U176" s="129" t="str">
        <f t="shared" si="59"/>
        <v/>
      </c>
      <c r="V176" s="130" t="str">
        <f t="shared" si="60"/>
        <v/>
      </c>
      <c r="W176" s="131" t="str">
        <f t="shared" si="61"/>
        <v/>
      </c>
      <c r="X176" s="129" t="str">
        <f t="shared" si="62"/>
        <v/>
      </c>
      <c r="Y176" s="130" t="str">
        <f t="shared" si="63"/>
        <v/>
      </c>
      <c r="Z176" s="131" t="str">
        <f t="shared" si="64"/>
        <v/>
      </c>
      <c r="AA176" s="129" t="str">
        <f t="shared" si="65"/>
        <v/>
      </c>
      <c r="AB176" s="130" t="str">
        <f t="shared" si="66"/>
        <v/>
      </c>
      <c r="AC176" s="131" t="str">
        <f t="shared" si="67"/>
        <v/>
      </c>
      <c r="AD176" s="129" t="str">
        <f t="shared" si="68"/>
        <v/>
      </c>
      <c r="AE176" s="130" t="str">
        <f t="shared" si="69"/>
        <v/>
      </c>
      <c r="AF176" s="131" t="str">
        <f t="shared" si="70"/>
        <v/>
      </c>
      <c r="AG176" s="129" t="str">
        <f t="shared" si="71"/>
        <v/>
      </c>
      <c r="AH176" s="129" t="str">
        <f t="shared" si="72"/>
        <v/>
      </c>
      <c r="AI176" s="42" t="str">
        <f t="shared" si="73"/>
        <v/>
      </c>
      <c r="AJ176" s="132" t="str">
        <f t="shared" si="74"/>
        <v>SEM DADOS</v>
      </c>
      <c r="AK176" s="145" t="str">
        <f t="shared" si="78"/>
        <v xml:space="preserve"> LINGUA INGLESA</v>
      </c>
      <c r="AL176" s="159">
        <f t="shared" si="75"/>
        <v>0</v>
      </c>
      <c r="AM176" s="141" t="str">
        <f t="shared" si="76"/>
        <v>Sem Dados</v>
      </c>
      <c r="AN176" s="141" t="str">
        <f t="shared" si="79"/>
        <v>0 Sem Dados</v>
      </c>
    </row>
    <row r="177" spans="1:40" ht="15.75" x14ac:dyDescent="0.25">
      <c r="A177" s="128" t="str">
        <f t="shared" si="41"/>
        <v/>
      </c>
      <c r="B177" s="37" t="s">
        <v>100</v>
      </c>
      <c r="C177" s="37" t="str">
        <f t="shared" si="42"/>
        <v xml:space="preserve"> LINGUA INGLESA</v>
      </c>
      <c r="D177" s="129" t="str">
        <f t="shared" si="43"/>
        <v>SEM DADOS</v>
      </c>
      <c r="E177" s="129" t="str">
        <f t="shared" si="44"/>
        <v>SEM DADOS</v>
      </c>
      <c r="F177" s="129" t="str">
        <f t="shared" si="45"/>
        <v>SEM DADOS</v>
      </c>
      <c r="G177" s="129" t="str">
        <f t="shared" si="46"/>
        <v>SEM DADOS</v>
      </c>
      <c r="H177" s="129" t="str">
        <f t="shared" si="47"/>
        <v>SEM DADOS</v>
      </c>
      <c r="I177" s="129" t="str">
        <f t="shared" si="48"/>
        <v>SEM DADOS</v>
      </c>
      <c r="J177" s="129" t="str">
        <f t="shared" si="49"/>
        <v>SEM DADOS</v>
      </c>
      <c r="K177" s="129" t="str">
        <f t="shared" si="50"/>
        <v>SEM DADOS</v>
      </c>
      <c r="L177" s="37" t="str">
        <f t="shared" si="77"/>
        <v>The hardness of 90% of particles shall be within the range of  to  HRC.</v>
      </c>
      <c r="M177" s="130" t="str">
        <f t="shared" si="51"/>
        <v/>
      </c>
      <c r="N177" s="131" t="str">
        <f t="shared" si="52"/>
        <v/>
      </c>
      <c r="O177" s="40" t="str">
        <f t="shared" si="53"/>
        <v/>
      </c>
      <c r="P177" s="130" t="str">
        <f t="shared" si="54"/>
        <v/>
      </c>
      <c r="Q177" s="131" t="str">
        <f t="shared" si="55"/>
        <v/>
      </c>
      <c r="R177" s="129" t="str">
        <f t="shared" si="56"/>
        <v/>
      </c>
      <c r="S177" s="130" t="str">
        <f t="shared" si="57"/>
        <v/>
      </c>
      <c r="T177" s="131" t="str">
        <f t="shared" si="58"/>
        <v/>
      </c>
      <c r="U177" s="129" t="str">
        <f t="shared" si="59"/>
        <v/>
      </c>
      <c r="V177" s="130" t="str">
        <f t="shared" si="60"/>
        <v/>
      </c>
      <c r="W177" s="131" t="str">
        <f t="shared" si="61"/>
        <v/>
      </c>
      <c r="X177" s="129" t="str">
        <f t="shared" si="62"/>
        <v/>
      </c>
      <c r="Y177" s="130" t="str">
        <f t="shared" si="63"/>
        <v/>
      </c>
      <c r="Z177" s="131" t="str">
        <f t="shared" si="64"/>
        <v/>
      </c>
      <c r="AA177" s="129" t="str">
        <f t="shared" si="65"/>
        <v/>
      </c>
      <c r="AB177" s="130" t="str">
        <f t="shared" si="66"/>
        <v/>
      </c>
      <c r="AC177" s="131" t="str">
        <f t="shared" si="67"/>
        <v/>
      </c>
      <c r="AD177" s="129" t="str">
        <f t="shared" si="68"/>
        <v/>
      </c>
      <c r="AE177" s="130" t="str">
        <f t="shared" si="69"/>
        <v/>
      </c>
      <c r="AF177" s="131" t="str">
        <f t="shared" si="70"/>
        <v/>
      </c>
      <c r="AG177" s="129" t="str">
        <f t="shared" si="71"/>
        <v/>
      </c>
      <c r="AH177" s="129" t="str">
        <f t="shared" si="72"/>
        <v/>
      </c>
      <c r="AI177" s="42" t="str">
        <f t="shared" si="73"/>
        <v/>
      </c>
      <c r="AJ177" s="132" t="str">
        <f t="shared" si="74"/>
        <v>SEM DADOS</v>
      </c>
      <c r="AK177" s="145" t="str">
        <f t="shared" si="78"/>
        <v xml:space="preserve"> LINGUA INGLESA</v>
      </c>
      <c r="AL177" s="159">
        <f t="shared" si="75"/>
        <v>0</v>
      </c>
      <c r="AM177" s="141" t="str">
        <f t="shared" si="76"/>
        <v>Sem Dados</v>
      </c>
      <c r="AN177" s="141" t="str">
        <f t="shared" si="79"/>
        <v>0 Sem Dados</v>
      </c>
    </row>
    <row r="178" spans="1:40" ht="15.75" x14ac:dyDescent="0.25">
      <c r="A178" s="128" t="str">
        <f t="shared" si="41"/>
        <v/>
      </c>
      <c r="B178" s="37" t="s">
        <v>100</v>
      </c>
      <c r="C178" s="37" t="str">
        <f t="shared" si="42"/>
        <v xml:space="preserve"> LINGUA INGLESA</v>
      </c>
      <c r="D178" s="129" t="str">
        <f t="shared" si="43"/>
        <v>SEM DADOS</v>
      </c>
      <c r="E178" s="129" t="str">
        <f t="shared" si="44"/>
        <v>SEM DADOS</v>
      </c>
      <c r="F178" s="129" t="str">
        <f t="shared" si="45"/>
        <v>SEM DADOS</v>
      </c>
      <c r="G178" s="129" t="str">
        <f t="shared" si="46"/>
        <v>SEM DADOS</v>
      </c>
      <c r="H178" s="129" t="str">
        <f t="shared" si="47"/>
        <v>SEM DADOS</v>
      </c>
      <c r="I178" s="129" t="str">
        <f t="shared" si="48"/>
        <v>SEM DADOS</v>
      </c>
      <c r="J178" s="129" t="str">
        <f t="shared" si="49"/>
        <v>SEM DADOS</v>
      </c>
      <c r="K178" s="129" t="str">
        <f t="shared" si="50"/>
        <v>SEM DADOS</v>
      </c>
      <c r="L178" s="37" t="str">
        <f t="shared" si="77"/>
        <v>The hardness of 90% of particles shall be within the range of  to  HRC.</v>
      </c>
      <c r="M178" s="130" t="str">
        <f t="shared" si="51"/>
        <v/>
      </c>
      <c r="N178" s="131" t="str">
        <f t="shared" si="52"/>
        <v/>
      </c>
      <c r="O178" s="40" t="str">
        <f t="shared" si="53"/>
        <v/>
      </c>
      <c r="P178" s="130" t="str">
        <f t="shared" si="54"/>
        <v/>
      </c>
      <c r="Q178" s="131" t="str">
        <f t="shared" si="55"/>
        <v/>
      </c>
      <c r="R178" s="129" t="str">
        <f t="shared" si="56"/>
        <v/>
      </c>
      <c r="S178" s="130" t="str">
        <f t="shared" si="57"/>
        <v/>
      </c>
      <c r="T178" s="131" t="str">
        <f t="shared" si="58"/>
        <v/>
      </c>
      <c r="U178" s="129" t="str">
        <f t="shared" si="59"/>
        <v/>
      </c>
      <c r="V178" s="130" t="str">
        <f t="shared" si="60"/>
        <v/>
      </c>
      <c r="W178" s="131" t="str">
        <f t="shared" si="61"/>
        <v/>
      </c>
      <c r="X178" s="129" t="str">
        <f t="shared" si="62"/>
        <v/>
      </c>
      <c r="Y178" s="130" t="str">
        <f t="shared" si="63"/>
        <v/>
      </c>
      <c r="Z178" s="131" t="str">
        <f t="shared" si="64"/>
        <v/>
      </c>
      <c r="AA178" s="129" t="str">
        <f t="shared" si="65"/>
        <v/>
      </c>
      <c r="AB178" s="130" t="str">
        <f t="shared" si="66"/>
        <v/>
      </c>
      <c r="AC178" s="131" t="str">
        <f t="shared" si="67"/>
        <v/>
      </c>
      <c r="AD178" s="129" t="str">
        <f t="shared" si="68"/>
        <v/>
      </c>
      <c r="AE178" s="130" t="str">
        <f t="shared" si="69"/>
        <v/>
      </c>
      <c r="AF178" s="131" t="str">
        <f t="shared" si="70"/>
        <v/>
      </c>
      <c r="AG178" s="129" t="str">
        <f t="shared" si="71"/>
        <v/>
      </c>
      <c r="AH178" s="129" t="str">
        <f t="shared" si="72"/>
        <v/>
      </c>
      <c r="AI178" s="42" t="str">
        <f t="shared" si="73"/>
        <v/>
      </c>
      <c r="AJ178" s="132" t="str">
        <f t="shared" si="74"/>
        <v>SEM DADOS</v>
      </c>
      <c r="AK178" s="145" t="str">
        <f t="shared" si="78"/>
        <v xml:space="preserve"> LINGUA INGLESA</v>
      </c>
      <c r="AL178" s="159">
        <f t="shared" si="75"/>
        <v>0</v>
      </c>
      <c r="AM178" s="141" t="str">
        <f t="shared" si="76"/>
        <v>Sem Dados</v>
      </c>
      <c r="AN178" s="141" t="str">
        <f t="shared" si="79"/>
        <v>0 Sem Dados</v>
      </c>
    </row>
    <row r="179" spans="1:40" ht="15.75" x14ac:dyDescent="0.25">
      <c r="A179" s="128" t="str">
        <f t="shared" si="41"/>
        <v/>
      </c>
      <c r="B179" s="37" t="s">
        <v>100</v>
      </c>
      <c r="C179" s="37" t="str">
        <f t="shared" si="42"/>
        <v xml:space="preserve"> LINGUA INGLESA</v>
      </c>
      <c r="D179" s="129" t="str">
        <f t="shared" si="43"/>
        <v>SEM DADOS</v>
      </c>
      <c r="E179" s="129" t="str">
        <f t="shared" si="44"/>
        <v>SEM DADOS</v>
      </c>
      <c r="F179" s="129" t="str">
        <f t="shared" si="45"/>
        <v>SEM DADOS</v>
      </c>
      <c r="G179" s="129" t="str">
        <f t="shared" si="46"/>
        <v>SEM DADOS</v>
      </c>
      <c r="H179" s="129" t="str">
        <f t="shared" si="47"/>
        <v>SEM DADOS</v>
      </c>
      <c r="I179" s="129" t="str">
        <f t="shared" si="48"/>
        <v>SEM DADOS</v>
      </c>
      <c r="J179" s="129" t="str">
        <f t="shared" si="49"/>
        <v>SEM DADOS</v>
      </c>
      <c r="K179" s="129" t="str">
        <f t="shared" si="50"/>
        <v>SEM DADOS</v>
      </c>
      <c r="L179" s="37" t="str">
        <f t="shared" si="77"/>
        <v>The hardness of 90% of particles shall be within the range of  to  HRC.</v>
      </c>
      <c r="M179" s="130" t="str">
        <f t="shared" si="51"/>
        <v/>
      </c>
      <c r="N179" s="131" t="str">
        <f t="shared" si="52"/>
        <v/>
      </c>
      <c r="O179" s="40" t="str">
        <f t="shared" si="53"/>
        <v/>
      </c>
      <c r="P179" s="130" t="str">
        <f t="shared" si="54"/>
        <v/>
      </c>
      <c r="Q179" s="131" t="str">
        <f t="shared" si="55"/>
        <v/>
      </c>
      <c r="R179" s="129" t="str">
        <f t="shared" si="56"/>
        <v/>
      </c>
      <c r="S179" s="130" t="str">
        <f t="shared" si="57"/>
        <v/>
      </c>
      <c r="T179" s="131" t="str">
        <f t="shared" si="58"/>
        <v/>
      </c>
      <c r="U179" s="129" t="str">
        <f t="shared" si="59"/>
        <v/>
      </c>
      <c r="V179" s="130" t="str">
        <f t="shared" si="60"/>
        <v/>
      </c>
      <c r="W179" s="131" t="str">
        <f t="shared" si="61"/>
        <v/>
      </c>
      <c r="X179" s="129" t="str">
        <f t="shared" si="62"/>
        <v/>
      </c>
      <c r="Y179" s="130" t="str">
        <f t="shared" si="63"/>
        <v/>
      </c>
      <c r="Z179" s="131" t="str">
        <f t="shared" si="64"/>
        <v/>
      </c>
      <c r="AA179" s="129" t="str">
        <f t="shared" si="65"/>
        <v/>
      </c>
      <c r="AB179" s="130" t="str">
        <f t="shared" si="66"/>
        <v/>
      </c>
      <c r="AC179" s="131" t="str">
        <f t="shared" si="67"/>
        <v/>
      </c>
      <c r="AD179" s="129" t="str">
        <f t="shared" si="68"/>
        <v/>
      </c>
      <c r="AE179" s="130" t="str">
        <f t="shared" si="69"/>
        <v/>
      </c>
      <c r="AF179" s="131" t="str">
        <f t="shared" si="70"/>
        <v/>
      </c>
      <c r="AG179" s="129" t="str">
        <f t="shared" si="71"/>
        <v/>
      </c>
      <c r="AH179" s="129" t="str">
        <f t="shared" si="72"/>
        <v/>
      </c>
      <c r="AI179" s="42" t="str">
        <f t="shared" si="73"/>
        <v/>
      </c>
      <c r="AJ179" s="132" t="str">
        <f t="shared" si="74"/>
        <v>SEM DADOS</v>
      </c>
      <c r="AK179" s="145" t="str">
        <f t="shared" si="78"/>
        <v xml:space="preserve"> LINGUA INGLESA</v>
      </c>
      <c r="AL179" s="159">
        <f t="shared" si="75"/>
        <v>0</v>
      </c>
      <c r="AM179" s="141" t="str">
        <f t="shared" si="76"/>
        <v>Sem Dados</v>
      </c>
      <c r="AN179" s="141" t="str">
        <f t="shared" si="79"/>
        <v>0 Sem Dados</v>
      </c>
    </row>
    <row r="180" spans="1:40" ht="15.75" x14ac:dyDescent="0.25">
      <c r="A180" s="128" t="str">
        <f t="shared" si="41"/>
        <v/>
      </c>
      <c r="B180" s="37" t="s">
        <v>100</v>
      </c>
      <c r="C180" s="37" t="str">
        <f t="shared" si="42"/>
        <v xml:space="preserve"> LINGUA INGLESA</v>
      </c>
      <c r="D180" s="129" t="str">
        <f t="shared" si="43"/>
        <v>SEM DADOS</v>
      </c>
      <c r="E180" s="129" t="str">
        <f t="shared" si="44"/>
        <v>SEM DADOS</v>
      </c>
      <c r="F180" s="129" t="str">
        <f t="shared" si="45"/>
        <v>SEM DADOS</v>
      </c>
      <c r="G180" s="129" t="str">
        <f t="shared" si="46"/>
        <v>SEM DADOS</v>
      </c>
      <c r="H180" s="129" t="str">
        <f t="shared" si="47"/>
        <v>SEM DADOS</v>
      </c>
      <c r="I180" s="129" t="str">
        <f t="shared" si="48"/>
        <v>SEM DADOS</v>
      </c>
      <c r="J180" s="129" t="str">
        <f t="shared" si="49"/>
        <v>SEM DADOS</v>
      </c>
      <c r="K180" s="129" t="str">
        <f t="shared" si="50"/>
        <v>SEM DADOS</v>
      </c>
      <c r="L180" s="37" t="str">
        <f t="shared" si="77"/>
        <v>The hardness of 90% of particles shall be within the range of  to  HRC.</v>
      </c>
      <c r="M180" s="130" t="str">
        <f t="shared" si="51"/>
        <v/>
      </c>
      <c r="N180" s="131" t="str">
        <f t="shared" si="52"/>
        <v/>
      </c>
      <c r="O180" s="40" t="str">
        <f t="shared" si="53"/>
        <v/>
      </c>
      <c r="P180" s="130" t="str">
        <f t="shared" si="54"/>
        <v/>
      </c>
      <c r="Q180" s="131" t="str">
        <f t="shared" si="55"/>
        <v/>
      </c>
      <c r="R180" s="129" t="str">
        <f t="shared" si="56"/>
        <v/>
      </c>
      <c r="S180" s="130" t="str">
        <f t="shared" si="57"/>
        <v/>
      </c>
      <c r="T180" s="131" t="str">
        <f t="shared" si="58"/>
        <v/>
      </c>
      <c r="U180" s="129" t="str">
        <f t="shared" si="59"/>
        <v/>
      </c>
      <c r="V180" s="130" t="str">
        <f t="shared" si="60"/>
        <v/>
      </c>
      <c r="W180" s="131" t="str">
        <f t="shared" si="61"/>
        <v/>
      </c>
      <c r="X180" s="129" t="str">
        <f t="shared" si="62"/>
        <v/>
      </c>
      <c r="Y180" s="130" t="str">
        <f t="shared" si="63"/>
        <v/>
      </c>
      <c r="Z180" s="131" t="str">
        <f t="shared" si="64"/>
        <v/>
      </c>
      <c r="AA180" s="129" t="str">
        <f t="shared" si="65"/>
        <v/>
      </c>
      <c r="AB180" s="130" t="str">
        <f t="shared" si="66"/>
        <v/>
      </c>
      <c r="AC180" s="131" t="str">
        <f t="shared" si="67"/>
        <v/>
      </c>
      <c r="AD180" s="129" t="str">
        <f t="shared" si="68"/>
        <v/>
      </c>
      <c r="AE180" s="130" t="str">
        <f t="shared" si="69"/>
        <v/>
      </c>
      <c r="AF180" s="131" t="str">
        <f t="shared" si="70"/>
        <v/>
      </c>
      <c r="AG180" s="129" t="str">
        <f t="shared" si="71"/>
        <v/>
      </c>
      <c r="AH180" s="129" t="str">
        <f t="shared" si="72"/>
        <v/>
      </c>
      <c r="AI180" s="42" t="str">
        <f t="shared" si="73"/>
        <v/>
      </c>
      <c r="AJ180" s="132" t="str">
        <f t="shared" si="74"/>
        <v>SEM DADOS</v>
      </c>
      <c r="AK180" s="145" t="str">
        <f t="shared" si="78"/>
        <v xml:space="preserve"> LINGUA INGLESA</v>
      </c>
      <c r="AL180" s="159">
        <f t="shared" si="75"/>
        <v>0</v>
      </c>
      <c r="AM180" s="141" t="str">
        <f t="shared" si="76"/>
        <v>Sem Dados</v>
      </c>
      <c r="AN180" s="141" t="str">
        <f t="shared" si="79"/>
        <v>0 Sem Dados</v>
      </c>
    </row>
    <row r="181" spans="1:40" ht="15.75" x14ac:dyDescent="0.25">
      <c r="A181" s="128" t="str">
        <f t="shared" si="41"/>
        <v/>
      </c>
      <c r="B181" s="37" t="s">
        <v>100</v>
      </c>
      <c r="C181" s="37" t="str">
        <f t="shared" si="42"/>
        <v xml:space="preserve"> LINGUA INGLESA</v>
      </c>
      <c r="D181" s="129" t="str">
        <f t="shared" si="43"/>
        <v>SEM DADOS</v>
      </c>
      <c r="E181" s="129" t="str">
        <f t="shared" si="44"/>
        <v>SEM DADOS</v>
      </c>
      <c r="F181" s="129" t="str">
        <f t="shared" si="45"/>
        <v>SEM DADOS</v>
      </c>
      <c r="G181" s="129" t="str">
        <f t="shared" si="46"/>
        <v>SEM DADOS</v>
      </c>
      <c r="H181" s="129" t="str">
        <f t="shared" si="47"/>
        <v>SEM DADOS</v>
      </c>
      <c r="I181" s="129" t="str">
        <f t="shared" si="48"/>
        <v>SEM DADOS</v>
      </c>
      <c r="J181" s="129" t="str">
        <f t="shared" si="49"/>
        <v>SEM DADOS</v>
      </c>
      <c r="K181" s="129" t="str">
        <f t="shared" si="50"/>
        <v>SEM DADOS</v>
      </c>
      <c r="L181" s="37" t="str">
        <f t="shared" si="77"/>
        <v>The hardness of 90% of particles shall be within the range of  to  HRC.</v>
      </c>
      <c r="M181" s="130" t="str">
        <f t="shared" si="51"/>
        <v/>
      </c>
      <c r="N181" s="131" t="str">
        <f t="shared" si="52"/>
        <v/>
      </c>
      <c r="O181" s="40" t="str">
        <f t="shared" si="53"/>
        <v/>
      </c>
      <c r="P181" s="130" t="str">
        <f t="shared" si="54"/>
        <v/>
      </c>
      <c r="Q181" s="131" t="str">
        <f t="shared" si="55"/>
        <v/>
      </c>
      <c r="R181" s="129" t="str">
        <f t="shared" si="56"/>
        <v/>
      </c>
      <c r="S181" s="130" t="str">
        <f t="shared" si="57"/>
        <v/>
      </c>
      <c r="T181" s="131" t="str">
        <f t="shared" si="58"/>
        <v/>
      </c>
      <c r="U181" s="129" t="str">
        <f t="shared" si="59"/>
        <v/>
      </c>
      <c r="V181" s="130" t="str">
        <f t="shared" si="60"/>
        <v/>
      </c>
      <c r="W181" s="131" t="str">
        <f t="shared" si="61"/>
        <v/>
      </c>
      <c r="X181" s="129" t="str">
        <f t="shared" si="62"/>
        <v/>
      </c>
      <c r="Y181" s="130" t="str">
        <f t="shared" si="63"/>
        <v/>
      </c>
      <c r="Z181" s="131" t="str">
        <f t="shared" si="64"/>
        <v/>
      </c>
      <c r="AA181" s="129" t="str">
        <f t="shared" si="65"/>
        <v/>
      </c>
      <c r="AB181" s="130" t="str">
        <f t="shared" si="66"/>
        <v/>
      </c>
      <c r="AC181" s="131" t="str">
        <f t="shared" si="67"/>
        <v/>
      </c>
      <c r="AD181" s="129" t="str">
        <f t="shared" si="68"/>
        <v/>
      </c>
      <c r="AE181" s="130" t="str">
        <f t="shared" si="69"/>
        <v/>
      </c>
      <c r="AF181" s="131" t="str">
        <f t="shared" si="70"/>
        <v/>
      </c>
      <c r="AG181" s="129" t="str">
        <f t="shared" si="71"/>
        <v/>
      </c>
      <c r="AH181" s="129" t="str">
        <f t="shared" si="72"/>
        <v/>
      </c>
      <c r="AI181" s="42" t="str">
        <f t="shared" si="73"/>
        <v/>
      </c>
      <c r="AJ181" s="132" t="str">
        <f t="shared" si="74"/>
        <v>SEM DADOS</v>
      </c>
      <c r="AK181" s="145" t="str">
        <f t="shared" si="78"/>
        <v xml:space="preserve"> LINGUA INGLESA</v>
      </c>
      <c r="AL181" s="159">
        <f t="shared" si="75"/>
        <v>0</v>
      </c>
      <c r="AM181" s="141" t="str">
        <f t="shared" si="76"/>
        <v>Sem Dados</v>
      </c>
      <c r="AN181" s="141" t="str">
        <f t="shared" si="79"/>
        <v>0 Sem Dados</v>
      </c>
    </row>
    <row r="182" spans="1:40" ht="15.75" x14ac:dyDescent="0.25">
      <c r="A182" s="128" t="str">
        <f t="shared" si="41"/>
        <v/>
      </c>
      <c r="B182" s="37" t="s">
        <v>100</v>
      </c>
      <c r="C182" s="37" t="str">
        <f t="shared" si="42"/>
        <v xml:space="preserve"> LINGUA INGLESA</v>
      </c>
      <c r="D182" s="129" t="str">
        <f t="shared" si="43"/>
        <v>SEM DADOS</v>
      </c>
      <c r="E182" s="129" t="str">
        <f t="shared" si="44"/>
        <v>SEM DADOS</v>
      </c>
      <c r="F182" s="129" t="str">
        <f t="shared" si="45"/>
        <v>SEM DADOS</v>
      </c>
      <c r="G182" s="129" t="str">
        <f t="shared" si="46"/>
        <v>SEM DADOS</v>
      </c>
      <c r="H182" s="129" t="str">
        <f t="shared" si="47"/>
        <v>SEM DADOS</v>
      </c>
      <c r="I182" s="129" t="str">
        <f t="shared" si="48"/>
        <v>SEM DADOS</v>
      </c>
      <c r="J182" s="129" t="str">
        <f t="shared" si="49"/>
        <v>SEM DADOS</v>
      </c>
      <c r="K182" s="129" t="str">
        <f t="shared" si="50"/>
        <v>SEM DADOS</v>
      </c>
      <c r="L182" s="37" t="str">
        <f t="shared" si="77"/>
        <v>The hardness of 90% of particles shall be within the range of  to  HRC.</v>
      </c>
      <c r="M182" s="130" t="str">
        <f t="shared" si="51"/>
        <v/>
      </c>
      <c r="N182" s="131" t="str">
        <f t="shared" si="52"/>
        <v/>
      </c>
      <c r="O182" s="40" t="str">
        <f t="shared" si="53"/>
        <v/>
      </c>
      <c r="P182" s="130" t="str">
        <f t="shared" si="54"/>
        <v/>
      </c>
      <c r="Q182" s="131" t="str">
        <f t="shared" si="55"/>
        <v/>
      </c>
      <c r="R182" s="129" t="str">
        <f t="shared" si="56"/>
        <v/>
      </c>
      <c r="S182" s="130" t="str">
        <f t="shared" si="57"/>
        <v/>
      </c>
      <c r="T182" s="131" t="str">
        <f t="shared" si="58"/>
        <v/>
      </c>
      <c r="U182" s="129" t="str">
        <f t="shared" si="59"/>
        <v/>
      </c>
      <c r="V182" s="130" t="str">
        <f t="shared" si="60"/>
        <v/>
      </c>
      <c r="W182" s="131" t="str">
        <f t="shared" si="61"/>
        <v/>
      </c>
      <c r="X182" s="129" t="str">
        <f t="shared" si="62"/>
        <v/>
      </c>
      <c r="Y182" s="130" t="str">
        <f t="shared" si="63"/>
        <v/>
      </c>
      <c r="Z182" s="131" t="str">
        <f t="shared" si="64"/>
        <v/>
      </c>
      <c r="AA182" s="129" t="str">
        <f t="shared" si="65"/>
        <v/>
      </c>
      <c r="AB182" s="130" t="str">
        <f t="shared" si="66"/>
        <v/>
      </c>
      <c r="AC182" s="131" t="str">
        <f t="shared" si="67"/>
        <v/>
      </c>
      <c r="AD182" s="129" t="str">
        <f t="shared" si="68"/>
        <v/>
      </c>
      <c r="AE182" s="130" t="str">
        <f t="shared" si="69"/>
        <v/>
      </c>
      <c r="AF182" s="131" t="str">
        <f t="shared" si="70"/>
        <v/>
      </c>
      <c r="AG182" s="129" t="str">
        <f t="shared" si="71"/>
        <v/>
      </c>
      <c r="AH182" s="129" t="str">
        <f t="shared" si="72"/>
        <v/>
      </c>
      <c r="AI182" s="42" t="str">
        <f t="shared" si="73"/>
        <v/>
      </c>
      <c r="AJ182" s="132" t="str">
        <f t="shared" si="74"/>
        <v>SEM DADOS</v>
      </c>
      <c r="AK182" s="145" t="str">
        <f t="shared" si="78"/>
        <v xml:space="preserve"> LINGUA INGLESA</v>
      </c>
      <c r="AL182" s="159">
        <f t="shared" si="75"/>
        <v>0</v>
      </c>
      <c r="AM182" s="141" t="str">
        <f t="shared" si="76"/>
        <v>Sem Dados</v>
      </c>
      <c r="AN182" s="141" t="str">
        <f t="shared" si="79"/>
        <v>0 Sem Dados</v>
      </c>
    </row>
    <row r="183" spans="1:40" ht="15.75" x14ac:dyDescent="0.25">
      <c r="A183" s="128" t="str">
        <f t="shared" si="41"/>
        <v/>
      </c>
      <c r="B183" s="37" t="s">
        <v>100</v>
      </c>
      <c r="C183" s="37" t="str">
        <f t="shared" si="42"/>
        <v xml:space="preserve"> LINGUA INGLESA</v>
      </c>
      <c r="D183" s="129" t="str">
        <f t="shared" si="43"/>
        <v>SEM DADOS</v>
      </c>
      <c r="E183" s="129" t="str">
        <f t="shared" si="44"/>
        <v>SEM DADOS</v>
      </c>
      <c r="F183" s="129" t="str">
        <f t="shared" si="45"/>
        <v>SEM DADOS</v>
      </c>
      <c r="G183" s="129" t="str">
        <f t="shared" si="46"/>
        <v>SEM DADOS</v>
      </c>
      <c r="H183" s="129" t="str">
        <f t="shared" si="47"/>
        <v>SEM DADOS</v>
      </c>
      <c r="I183" s="129" t="str">
        <f t="shared" si="48"/>
        <v>SEM DADOS</v>
      </c>
      <c r="J183" s="129" t="str">
        <f t="shared" si="49"/>
        <v>SEM DADOS</v>
      </c>
      <c r="K183" s="129" t="str">
        <f t="shared" si="50"/>
        <v>SEM DADOS</v>
      </c>
      <c r="L183" s="37" t="str">
        <f t="shared" si="77"/>
        <v>The hardness of 90% of particles shall be within the range of  to  HRC.</v>
      </c>
      <c r="M183" s="130" t="str">
        <f t="shared" si="51"/>
        <v/>
      </c>
      <c r="N183" s="131" t="str">
        <f t="shared" si="52"/>
        <v/>
      </c>
      <c r="O183" s="40" t="str">
        <f t="shared" si="53"/>
        <v/>
      </c>
      <c r="P183" s="130" t="str">
        <f t="shared" si="54"/>
        <v/>
      </c>
      <c r="Q183" s="131" t="str">
        <f t="shared" si="55"/>
        <v/>
      </c>
      <c r="R183" s="129" t="str">
        <f t="shared" si="56"/>
        <v/>
      </c>
      <c r="S183" s="130" t="str">
        <f t="shared" si="57"/>
        <v/>
      </c>
      <c r="T183" s="131" t="str">
        <f t="shared" si="58"/>
        <v/>
      </c>
      <c r="U183" s="129" t="str">
        <f t="shared" si="59"/>
        <v/>
      </c>
      <c r="V183" s="130" t="str">
        <f t="shared" si="60"/>
        <v/>
      </c>
      <c r="W183" s="131" t="str">
        <f t="shared" si="61"/>
        <v/>
      </c>
      <c r="X183" s="129" t="str">
        <f t="shared" si="62"/>
        <v/>
      </c>
      <c r="Y183" s="130" t="str">
        <f t="shared" si="63"/>
        <v/>
      </c>
      <c r="Z183" s="131" t="str">
        <f t="shared" si="64"/>
        <v/>
      </c>
      <c r="AA183" s="129" t="str">
        <f t="shared" si="65"/>
        <v/>
      </c>
      <c r="AB183" s="130" t="str">
        <f t="shared" si="66"/>
        <v/>
      </c>
      <c r="AC183" s="131" t="str">
        <f t="shared" si="67"/>
        <v/>
      </c>
      <c r="AD183" s="129" t="str">
        <f t="shared" si="68"/>
        <v/>
      </c>
      <c r="AE183" s="130" t="str">
        <f t="shared" si="69"/>
        <v/>
      </c>
      <c r="AF183" s="131" t="str">
        <f t="shared" si="70"/>
        <v/>
      </c>
      <c r="AG183" s="129" t="str">
        <f t="shared" si="71"/>
        <v/>
      </c>
      <c r="AH183" s="129" t="str">
        <f t="shared" si="72"/>
        <v/>
      </c>
      <c r="AI183" s="42" t="str">
        <f t="shared" si="73"/>
        <v/>
      </c>
      <c r="AJ183" s="132" t="str">
        <f t="shared" si="74"/>
        <v>SEM DADOS</v>
      </c>
      <c r="AK183" s="145" t="str">
        <f t="shared" si="78"/>
        <v xml:space="preserve"> LINGUA INGLESA</v>
      </c>
      <c r="AL183" s="159">
        <f t="shared" si="75"/>
        <v>0</v>
      </c>
      <c r="AM183" s="141" t="str">
        <f t="shared" si="76"/>
        <v>Sem Dados</v>
      </c>
      <c r="AN183" s="141" t="str">
        <f t="shared" si="79"/>
        <v>0 Sem Dados</v>
      </c>
    </row>
    <row r="184" spans="1:40" ht="15.75" x14ac:dyDescent="0.25">
      <c r="A184" s="128" t="str">
        <f t="shared" si="41"/>
        <v/>
      </c>
      <c r="B184" s="37" t="s">
        <v>100</v>
      </c>
      <c r="C184" s="37" t="str">
        <f t="shared" si="42"/>
        <v xml:space="preserve"> LINGUA INGLESA</v>
      </c>
      <c r="D184" s="129" t="str">
        <f t="shared" si="43"/>
        <v>SEM DADOS</v>
      </c>
      <c r="E184" s="129" t="str">
        <f t="shared" si="44"/>
        <v>SEM DADOS</v>
      </c>
      <c r="F184" s="129" t="str">
        <f t="shared" si="45"/>
        <v>SEM DADOS</v>
      </c>
      <c r="G184" s="129" t="str">
        <f t="shared" si="46"/>
        <v>SEM DADOS</v>
      </c>
      <c r="H184" s="129" t="str">
        <f t="shared" si="47"/>
        <v>SEM DADOS</v>
      </c>
      <c r="I184" s="129" t="str">
        <f t="shared" si="48"/>
        <v>SEM DADOS</v>
      </c>
      <c r="J184" s="129" t="str">
        <f t="shared" si="49"/>
        <v>SEM DADOS</v>
      </c>
      <c r="K184" s="129" t="str">
        <f t="shared" si="50"/>
        <v>SEM DADOS</v>
      </c>
      <c r="L184" s="37" t="str">
        <f t="shared" si="77"/>
        <v>The hardness of 90% of particles shall be within the range of  to  HRC.</v>
      </c>
      <c r="M184" s="130" t="str">
        <f t="shared" si="51"/>
        <v/>
      </c>
      <c r="N184" s="131" t="str">
        <f t="shared" si="52"/>
        <v/>
      </c>
      <c r="O184" s="40" t="str">
        <f t="shared" si="53"/>
        <v/>
      </c>
      <c r="P184" s="130" t="str">
        <f t="shared" si="54"/>
        <v/>
      </c>
      <c r="Q184" s="131" t="str">
        <f t="shared" si="55"/>
        <v/>
      </c>
      <c r="R184" s="129" t="str">
        <f t="shared" si="56"/>
        <v/>
      </c>
      <c r="S184" s="130" t="str">
        <f t="shared" si="57"/>
        <v/>
      </c>
      <c r="T184" s="131" t="str">
        <f t="shared" si="58"/>
        <v/>
      </c>
      <c r="U184" s="129" t="str">
        <f t="shared" si="59"/>
        <v/>
      </c>
      <c r="V184" s="130" t="str">
        <f t="shared" si="60"/>
        <v/>
      </c>
      <c r="W184" s="131" t="str">
        <f t="shared" si="61"/>
        <v/>
      </c>
      <c r="X184" s="129" t="str">
        <f t="shared" si="62"/>
        <v/>
      </c>
      <c r="Y184" s="130" t="str">
        <f t="shared" si="63"/>
        <v/>
      </c>
      <c r="Z184" s="131" t="str">
        <f t="shared" si="64"/>
        <v/>
      </c>
      <c r="AA184" s="129" t="str">
        <f t="shared" si="65"/>
        <v/>
      </c>
      <c r="AB184" s="130" t="str">
        <f t="shared" si="66"/>
        <v/>
      </c>
      <c r="AC184" s="131" t="str">
        <f t="shared" si="67"/>
        <v/>
      </c>
      <c r="AD184" s="129" t="str">
        <f t="shared" si="68"/>
        <v/>
      </c>
      <c r="AE184" s="130" t="str">
        <f t="shared" si="69"/>
        <v/>
      </c>
      <c r="AF184" s="131" t="str">
        <f t="shared" si="70"/>
        <v/>
      </c>
      <c r="AG184" s="129" t="str">
        <f t="shared" si="71"/>
        <v/>
      </c>
      <c r="AH184" s="129" t="str">
        <f t="shared" si="72"/>
        <v/>
      </c>
      <c r="AI184" s="42" t="str">
        <f t="shared" si="73"/>
        <v/>
      </c>
      <c r="AJ184" s="132" t="str">
        <f t="shared" si="74"/>
        <v>SEM DADOS</v>
      </c>
      <c r="AK184" s="145" t="str">
        <f t="shared" si="78"/>
        <v xml:space="preserve"> LINGUA INGLESA</v>
      </c>
      <c r="AL184" s="159">
        <f t="shared" si="75"/>
        <v>0</v>
      </c>
      <c r="AM184" s="141" t="str">
        <f t="shared" si="76"/>
        <v>Sem Dados</v>
      </c>
      <c r="AN184" s="141" t="str">
        <f t="shared" si="79"/>
        <v>0 Sem Dados</v>
      </c>
    </row>
    <row r="185" spans="1:40" ht="15.75" x14ac:dyDescent="0.25">
      <c r="A185" s="128" t="str">
        <f t="shared" si="41"/>
        <v/>
      </c>
      <c r="B185" s="37" t="s">
        <v>100</v>
      </c>
      <c r="C185" s="37" t="str">
        <f t="shared" si="42"/>
        <v xml:space="preserve"> LINGUA INGLESA</v>
      </c>
      <c r="D185" s="129" t="str">
        <f t="shared" si="43"/>
        <v>SEM DADOS</v>
      </c>
      <c r="E185" s="129" t="str">
        <f t="shared" si="44"/>
        <v>SEM DADOS</v>
      </c>
      <c r="F185" s="129" t="str">
        <f t="shared" si="45"/>
        <v>SEM DADOS</v>
      </c>
      <c r="G185" s="129" t="str">
        <f t="shared" si="46"/>
        <v>SEM DADOS</v>
      </c>
      <c r="H185" s="129" t="str">
        <f t="shared" si="47"/>
        <v>SEM DADOS</v>
      </c>
      <c r="I185" s="129" t="str">
        <f t="shared" si="48"/>
        <v>SEM DADOS</v>
      </c>
      <c r="J185" s="129" t="str">
        <f t="shared" si="49"/>
        <v>SEM DADOS</v>
      </c>
      <c r="K185" s="129" t="str">
        <f t="shared" si="50"/>
        <v>SEM DADOS</v>
      </c>
      <c r="L185" s="37" t="str">
        <f t="shared" si="77"/>
        <v>The hardness of 90% of particles shall be within the range of  to  HRC.</v>
      </c>
      <c r="M185" s="130" t="str">
        <f t="shared" si="51"/>
        <v/>
      </c>
      <c r="N185" s="131" t="str">
        <f t="shared" si="52"/>
        <v/>
      </c>
      <c r="O185" s="40" t="str">
        <f t="shared" si="53"/>
        <v/>
      </c>
      <c r="P185" s="130" t="str">
        <f t="shared" si="54"/>
        <v/>
      </c>
      <c r="Q185" s="131" t="str">
        <f t="shared" si="55"/>
        <v/>
      </c>
      <c r="R185" s="129" t="str">
        <f t="shared" si="56"/>
        <v/>
      </c>
      <c r="S185" s="130" t="str">
        <f t="shared" si="57"/>
        <v/>
      </c>
      <c r="T185" s="131" t="str">
        <f t="shared" si="58"/>
        <v/>
      </c>
      <c r="U185" s="129" t="str">
        <f t="shared" si="59"/>
        <v/>
      </c>
      <c r="V185" s="130" t="str">
        <f t="shared" si="60"/>
        <v/>
      </c>
      <c r="W185" s="131" t="str">
        <f t="shared" si="61"/>
        <v/>
      </c>
      <c r="X185" s="129" t="str">
        <f t="shared" si="62"/>
        <v/>
      </c>
      <c r="Y185" s="130" t="str">
        <f t="shared" si="63"/>
        <v/>
      </c>
      <c r="Z185" s="131" t="str">
        <f t="shared" si="64"/>
        <v/>
      </c>
      <c r="AA185" s="129" t="str">
        <f t="shared" si="65"/>
        <v/>
      </c>
      <c r="AB185" s="130" t="str">
        <f t="shared" si="66"/>
        <v/>
      </c>
      <c r="AC185" s="131" t="str">
        <f t="shared" si="67"/>
        <v/>
      </c>
      <c r="AD185" s="129" t="str">
        <f t="shared" si="68"/>
        <v/>
      </c>
      <c r="AE185" s="130" t="str">
        <f t="shared" si="69"/>
        <v/>
      </c>
      <c r="AF185" s="131" t="str">
        <f t="shared" si="70"/>
        <v/>
      </c>
      <c r="AG185" s="129" t="str">
        <f t="shared" si="71"/>
        <v/>
      </c>
      <c r="AH185" s="129" t="str">
        <f t="shared" si="72"/>
        <v/>
      </c>
      <c r="AI185" s="42" t="str">
        <f t="shared" si="73"/>
        <v/>
      </c>
      <c r="AJ185" s="132" t="str">
        <f t="shared" si="74"/>
        <v>SEM DADOS</v>
      </c>
      <c r="AK185" s="145" t="str">
        <f t="shared" si="78"/>
        <v xml:space="preserve"> LINGUA INGLESA</v>
      </c>
      <c r="AL185" s="159">
        <f t="shared" si="75"/>
        <v>0</v>
      </c>
      <c r="AM185" s="141" t="str">
        <f t="shared" si="76"/>
        <v>Sem Dados</v>
      </c>
      <c r="AN185" s="141" t="str">
        <f t="shared" si="79"/>
        <v>0 Sem Dados</v>
      </c>
    </row>
    <row r="186" spans="1:40" ht="15.75" x14ac:dyDescent="0.25">
      <c r="A186" s="128" t="str">
        <f t="shared" si="41"/>
        <v/>
      </c>
      <c r="B186" s="37" t="s">
        <v>100</v>
      </c>
      <c r="C186" s="37" t="str">
        <f t="shared" si="42"/>
        <v xml:space="preserve"> LINGUA INGLESA</v>
      </c>
      <c r="D186" s="129" t="str">
        <f t="shared" si="43"/>
        <v>SEM DADOS</v>
      </c>
      <c r="E186" s="129" t="str">
        <f t="shared" si="44"/>
        <v>SEM DADOS</v>
      </c>
      <c r="F186" s="129" t="str">
        <f t="shared" si="45"/>
        <v>SEM DADOS</v>
      </c>
      <c r="G186" s="129" t="str">
        <f t="shared" si="46"/>
        <v>SEM DADOS</v>
      </c>
      <c r="H186" s="129" t="str">
        <f t="shared" si="47"/>
        <v>SEM DADOS</v>
      </c>
      <c r="I186" s="129" t="str">
        <f t="shared" si="48"/>
        <v>SEM DADOS</v>
      </c>
      <c r="J186" s="129" t="str">
        <f t="shared" si="49"/>
        <v>SEM DADOS</v>
      </c>
      <c r="K186" s="129" t="str">
        <f t="shared" si="50"/>
        <v>SEM DADOS</v>
      </c>
      <c r="L186" s="37" t="str">
        <f t="shared" si="77"/>
        <v>The hardness of 90% of particles shall be within the range of  to  HRC.</v>
      </c>
      <c r="M186" s="130" t="str">
        <f t="shared" si="51"/>
        <v/>
      </c>
      <c r="N186" s="131" t="str">
        <f t="shared" si="52"/>
        <v/>
      </c>
      <c r="O186" s="40" t="str">
        <f t="shared" si="53"/>
        <v/>
      </c>
      <c r="P186" s="130" t="str">
        <f t="shared" si="54"/>
        <v/>
      </c>
      <c r="Q186" s="131" t="str">
        <f t="shared" si="55"/>
        <v/>
      </c>
      <c r="R186" s="129" t="str">
        <f t="shared" si="56"/>
        <v/>
      </c>
      <c r="S186" s="130" t="str">
        <f t="shared" si="57"/>
        <v/>
      </c>
      <c r="T186" s="131" t="str">
        <f t="shared" si="58"/>
        <v/>
      </c>
      <c r="U186" s="129" t="str">
        <f t="shared" si="59"/>
        <v/>
      </c>
      <c r="V186" s="130" t="str">
        <f t="shared" si="60"/>
        <v/>
      </c>
      <c r="W186" s="131" t="str">
        <f t="shared" si="61"/>
        <v/>
      </c>
      <c r="X186" s="129" t="str">
        <f t="shared" si="62"/>
        <v/>
      </c>
      <c r="Y186" s="130" t="str">
        <f t="shared" si="63"/>
        <v/>
      </c>
      <c r="Z186" s="131" t="str">
        <f t="shared" si="64"/>
        <v/>
      </c>
      <c r="AA186" s="129" t="str">
        <f t="shared" si="65"/>
        <v/>
      </c>
      <c r="AB186" s="130" t="str">
        <f t="shared" si="66"/>
        <v/>
      </c>
      <c r="AC186" s="131" t="str">
        <f t="shared" si="67"/>
        <v/>
      </c>
      <c r="AD186" s="129" t="str">
        <f t="shared" si="68"/>
        <v/>
      </c>
      <c r="AE186" s="130" t="str">
        <f t="shared" si="69"/>
        <v/>
      </c>
      <c r="AF186" s="131" t="str">
        <f t="shared" si="70"/>
        <v/>
      </c>
      <c r="AG186" s="129" t="str">
        <f t="shared" si="71"/>
        <v/>
      </c>
      <c r="AH186" s="129" t="str">
        <f t="shared" si="72"/>
        <v/>
      </c>
      <c r="AI186" s="42" t="str">
        <f t="shared" si="73"/>
        <v/>
      </c>
      <c r="AJ186" s="132" t="str">
        <f t="shared" si="74"/>
        <v>SEM DADOS</v>
      </c>
      <c r="AK186" s="145" t="str">
        <f t="shared" si="78"/>
        <v xml:space="preserve"> LINGUA INGLESA</v>
      </c>
      <c r="AL186" s="159">
        <f t="shared" si="75"/>
        <v>0</v>
      </c>
      <c r="AM186" s="141" t="str">
        <f t="shared" si="76"/>
        <v>Sem Dados</v>
      </c>
      <c r="AN186" s="141" t="str">
        <f t="shared" si="79"/>
        <v>0 Sem Dados</v>
      </c>
    </row>
    <row r="187" spans="1:40" ht="15.75" x14ac:dyDescent="0.25">
      <c r="A187" s="128" t="str">
        <f t="shared" si="41"/>
        <v/>
      </c>
      <c r="B187" s="37" t="s">
        <v>100</v>
      </c>
      <c r="C187" s="37" t="str">
        <f t="shared" si="42"/>
        <v xml:space="preserve"> LINGUA INGLESA</v>
      </c>
      <c r="D187" s="129" t="str">
        <f t="shared" si="43"/>
        <v>SEM DADOS</v>
      </c>
      <c r="E187" s="129" t="str">
        <f t="shared" si="44"/>
        <v>SEM DADOS</v>
      </c>
      <c r="F187" s="129" t="str">
        <f t="shared" si="45"/>
        <v>SEM DADOS</v>
      </c>
      <c r="G187" s="129" t="str">
        <f t="shared" si="46"/>
        <v>SEM DADOS</v>
      </c>
      <c r="H187" s="129" t="str">
        <f t="shared" si="47"/>
        <v>SEM DADOS</v>
      </c>
      <c r="I187" s="129" t="str">
        <f t="shared" si="48"/>
        <v>SEM DADOS</v>
      </c>
      <c r="J187" s="129" t="str">
        <f t="shared" si="49"/>
        <v>SEM DADOS</v>
      </c>
      <c r="K187" s="129" t="str">
        <f t="shared" si="50"/>
        <v>SEM DADOS</v>
      </c>
      <c r="L187" s="37" t="str">
        <f t="shared" si="77"/>
        <v>The hardness of 90% of particles shall be within the range of  to  HRC.</v>
      </c>
      <c r="M187" s="130" t="str">
        <f t="shared" si="51"/>
        <v/>
      </c>
      <c r="N187" s="131" t="str">
        <f t="shared" si="52"/>
        <v/>
      </c>
      <c r="O187" s="40" t="str">
        <f t="shared" si="53"/>
        <v/>
      </c>
      <c r="P187" s="130" t="str">
        <f t="shared" si="54"/>
        <v/>
      </c>
      <c r="Q187" s="131" t="str">
        <f t="shared" si="55"/>
        <v/>
      </c>
      <c r="R187" s="129" t="str">
        <f t="shared" si="56"/>
        <v/>
      </c>
      <c r="S187" s="130" t="str">
        <f t="shared" si="57"/>
        <v/>
      </c>
      <c r="T187" s="131" t="str">
        <f t="shared" si="58"/>
        <v/>
      </c>
      <c r="U187" s="129" t="str">
        <f t="shared" si="59"/>
        <v/>
      </c>
      <c r="V187" s="130" t="str">
        <f t="shared" si="60"/>
        <v/>
      </c>
      <c r="W187" s="131" t="str">
        <f t="shared" si="61"/>
        <v/>
      </c>
      <c r="X187" s="129" t="str">
        <f t="shared" si="62"/>
        <v/>
      </c>
      <c r="Y187" s="130" t="str">
        <f t="shared" si="63"/>
        <v/>
      </c>
      <c r="Z187" s="131" t="str">
        <f t="shared" si="64"/>
        <v/>
      </c>
      <c r="AA187" s="129" t="str">
        <f t="shared" si="65"/>
        <v/>
      </c>
      <c r="AB187" s="130" t="str">
        <f t="shared" si="66"/>
        <v/>
      </c>
      <c r="AC187" s="131" t="str">
        <f t="shared" si="67"/>
        <v/>
      </c>
      <c r="AD187" s="129" t="str">
        <f t="shared" si="68"/>
        <v/>
      </c>
      <c r="AE187" s="130" t="str">
        <f t="shared" si="69"/>
        <v/>
      </c>
      <c r="AF187" s="131" t="str">
        <f t="shared" si="70"/>
        <v/>
      </c>
      <c r="AG187" s="129" t="str">
        <f t="shared" si="71"/>
        <v/>
      </c>
      <c r="AH187" s="129" t="str">
        <f t="shared" si="72"/>
        <v/>
      </c>
      <c r="AI187" s="42" t="str">
        <f t="shared" si="73"/>
        <v/>
      </c>
      <c r="AJ187" s="132" t="str">
        <f t="shared" si="74"/>
        <v>SEM DADOS</v>
      </c>
      <c r="AK187" s="145" t="str">
        <f t="shared" si="78"/>
        <v xml:space="preserve"> LINGUA INGLESA</v>
      </c>
      <c r="AL187" s="159">
        <f t="shared" si="75"/>
        <v>0</v>
      </c>
      <c r="AM187" s="141" t="str">
        <f t="shared" si="76"/>
        <v>Sem Dados</v>
      </c>
      <c r="AN187" s="141" t="str">
        <f t="shared" si="79"/>
        <v>0 Sem Dados</v>
      </c>
    </row>
    <row r="188" spans="1:40" ht="15.75" x14ac:dyDescent="0.25">
      <c r="A188" s="128" t="str">
        <f t="shared" si="41"/>
        <v/>
      </c>
      <c r="B188" s="37" t="s">
        <v>100</v>
      </c>
      <c r="C188" s="37" t="str">
        <f t="shared" si="42"/>
        <v xml:space="preserve"> LINGUA INGLESA</v>
      </c>
      <c r="D188" s="129" t="str">
        <f t="shared" si="43"/>
        <v>SEM DADOS</v>
      </c>
      <c r="E188" s="129" t="str">
        <f t="shared" si="44"/>
        <v>SEM DADOS</v>
      </c>
      <c r="F188" s="129" t="str">
        <f t="shared" si="45"/>
        <v>SEM DADOS</v>
      </c>
      <c r="G188" s="129" t="str">
        <f t="shared" si="46"/>
        <v>SEM DADOS</v>
      </c>
      <c r="H188" s="129" t="str">
        <f t="shared" si="47"/>
        <v>SEM DADOS</v>
      </c>
      <c r="I188" s="129" t="str">
        <f t="shared" si="48"/>
        <v>SEM DADOS</v>
      </c>
      <c r="J188" s="129" t="str">
        <f t="shared" si="49"/>
        <v>SEM DADOS</v>
      </c>
      <c r="K188" s="129" t="str">
        <f t="shared" si="50"/>
        <v>SEM DADOS</v>
      </c>
      <c r="L188" s="37" t="str">
        <f t="shared" si="77"/>
        <v>The hardness of 90% of particles shall be within the range of  to  HRC.</v>
      </c>
      <c r="M188" s="130" t="str">
        <f t="shared" si="51"/>
        <v/>
      </c>
      <c r="N188" s="131" t="str">
        <f t="shared" si="52"/>
        <v/>
      </c>
      <c r="O188" s="40" t="str">
        <f t="shared" si="53"/>
        <v/>
      </c>
      <c r="P188" s="130" t="str">
        <f t="shared" si="54"/>
        <v/>
      </c>
      <c r="Q188" s="131" t="str">
        <f t="shared" si="55"/>
        <v/>
      </c>
      <c r="R188" s="129" t="str">
        <f t="shared" si="56"/>
        <v/>
      </c>
      <c r="S188" s="130" t="str">
        <f t="shared" si="57"/>
        <v/>
      </c>
      <c r="T188" s="131" t="str">
        <f t="shared" si="58"/>
        <v/>
      </c>
      <c r="U188" s="129" t="str">
        <f t="shared" si="59"/>
        <v/>
      </c>
      <c r="V188" s="130" t="str">
        <f t="shared" si="60"/>
        <v/>
      </c>
      <c r="W188" s="131" t="str">
        <f t="shared" si="61"/>
        <v/>
      </c>
      <c r="X188" s="129" t="str">
        <f t="shared" si="62"/>
        <v/>
      </c>
      <c r="Y188" s="130" t="str">
        <f t="shared" si="63"/>
        <v/>
      </c>
      <c r="Z188" s="131" t="str">
        <f t="shared" si="64"/>
        <v/>
      </c>
      <c r="AA188" s="129" t="str">
        <f t="shared" si="65"/>
        <v/>
      </c>
      <c r="AB188" s="130" t="str">
        <f t="shared" si="66"/>
        <v/>
      </c>
      <c r="AC188" s="131" t="str">
        <f t="shared" si="67"/>
        <v/>
      </c>
      <c r="AD188" s="129" t="str">
        <f t="shared" si="68"/>
        <v/>
      </c>
      <c r="AE188" s="130" t="str">
        <f t="shared" si="69"/>
        <v/>
      </c>
      <c r="AF188" s="131" t="str">
        <f t="shared" si="70"/>
        <v/>
      </c>
      <c r="AG188" s="129" t="str">
        <f t="shared" si="71"/>
        <v/>
      </c>
      <c r="AH188" s="129" t="str">
        <f t="shared" si="72"/>
        <v/>
      </c>
      <c r="AI188" s="42" t="str">
        <f t="shared" si="73"/>
        <v/>
      </c>
      <c r="AJ188" s="132" t="str">
        <f t="shared" si="74"/>
        <v>SEM DADOS</v>
      </c>
      <c r="AK188" s="145" t="str">
        <f t="shared" si="78"/>
        <v xml:space="preserve"> LINGUA INGLESA</v>
      </c>
      <c r="AL188" s="159">
        <f t="shared" si="75"/>
        <v>0</v>
      </c>
      <c r="AM188" s="141" t="str">
        <f t="shared" si="76"/>
        <v>Sem Dados</v>
      </c>
      <c r="AN188" s="141" t="str">
        <f t="shared" si="79"/>
        <v>0 Sem Dados</v>
      </c>
    </row>
    <row r="189" spans="1:40" ht="16.5" thickBot="1" x14ac:dyDescent="0.3">
      <c r="A189" s="128" t="str">
        <f t="shared" si="41"/>
        <v/>
      </c>
      <c r="B189" s="37" t="s">
        <v>100</v>
      </c>
      <c r="C189" s="37" t="str">
        <f t="shared" si="42"/>
        <v xml:space="preserve"> LINGUA INGLESA</v>
      </c>
      <c r="D189" s="129" t="str">
        <f t="shared" si="43"/>
        <v>SEM DADOS</v>
      </c>
      <c r="E189" s="129" t="str">
        <f t="shared" si="44"/>
        <v>SEM DADOS</v>
      </c>
      <c r="F189" s="129" t="str">
        <f t="shared" si="45"/>
        <v>SEM DADOS</v>
      </c>
      <c r="G189" s="129" t="str">
        <f t="shared" si="46"/>
        <v>SEM DADOS</v>
      </c>
      <c r="H189" s="129" t="str">
        <f t="shared" si="47"/>
        <v>SEM DADOS</v>
      </c>
      <c r="I189" s="129" t="str">
        <f t="shared" si="48"/>
        <v>SEM DADOS</v>
      </c>
      <c r="J189" s="129" t="str">
        <f t="shared" si="49"/>
        <v>SEM DADOS</v>
      </c>
      <c r="K189" s="129" t="str">
        <f t="shared" si="50"/>
        <v>SEM DADOS</v>
      </c>
      <c r="L189" s="37" t="e">
        <f>CONCATENATE("The hardness of 90% of particles shall be within the range of ",#REF!," to ",#REF!," HRC.")</f>
        <v>#REF!</v>
      </c>
      <c r="M189" s="130" t="str">
        <f t="shared" si="51"/>
        <v/>
      </c>
      <c r="N189" s="131" t="str">
        <f t="shared" si="52"/>
        <v/>
      </c>
      <c r="O189" s="40" t="str">
        <f t="shared" si="53"/>
        <v/>
      </c>
      <c r="P189" s="130" t="str">
        <f t="shared" si="54"/>
        <v/>
      </c>
      <c r="Q189" s="131" t="str">
        <f t="shared" si="55"/>
        <v/>
      </c>
      <c r="R189" s="129" t="str">
        <f t="shared" si="56"/>
        <v/>
      </c>
      <c r="S189" s="130" t="str">
        <f t="shared" si="57"/>
        <v/>
      </c>
      <c r="T189" s="131" t="str">
        <f t="shared" si="58"/>
        <v/>
      </c>
      <c r="U189" s="129" t="str">
        <f t="shared" si="59"/>
        <v/>
      </c>
      <c r="V189" s="130" t="str">
        <f t="shared" si="60"/>
        <v/>
      </c>
      <c r="W189" s="131" t="str">
        <f t="shared" si="61"/>
        <v/>
      </c>
      <c r="X189" s="129" t="str">
        <f t="shared" si="62"/>
        <v/>
      </c>
      <c r="Y189" s="130" t="str">
        <f t="shared" si="63"/>
        <v/>
      </c>
      <c r="Z189" s="131" t="str">
        <f t="shared" si="64"/>
        <v/>
      </c>
      <c r="AA189" s="129" t="str">
        <f t="shared" si="65"/>
        <v/>
      </c>
      <c r="AB189" s="130" t="str">
        <f t="shared" si="66"/>
        <v/>
      </c>
      <c r="AC189" s="131" t="str">
        <f t="shared" si="67"/>
        <v/>
      </c>
      <c r="AD189" s="129" t="str">
        <f t="shared" si="68"/>
        <v/>
      </c>
      <c r="AE189" s="130" t="str">
        <f t="shared" si="69"/>
        <v/>
      </c>
      <c r="AF189" s="131" t="str">
        <f t="shared" si="70"/>
        <v/>
      </c>
      <c r="AG189" s="129" t="str">
        <f t="shared" si="71"/>
        <v/>
      </c>
      <c r="AH189" s="129" t="str">
        <f t="shared" si="72"/>
        <v/>
      </c>
      <c r="AI189" s="42" t="str">
        <f t="shared" si="73"/>
        <v/>
      </c>
      <c r="AJ189" s="132" t="str">
        <f t="shared" si="74"/>
        <v>SEM DADOS</v>
      </c>
      <c r="AK189" s="145" t="str">
        <f t="shared" si="78"/>
        <v xml:space="preserve"> LINGUA INGLESA</v>
      </c>
      <c r="AL189" s="159">
        <f t="shared" si="75"/>
        <v>0</v>
      </c>
      <c r="AM189" s="141" t="str">
        <f t="shared" si="76"/>
        <v>Sem Dados</v>
      </c>
      <c r="AN189" s="141" t="str">
        <f t="shared" si="79"/>
        <v>0 Sem Dados</v>
      </c>
    </row>
    <row r="190" spans="1:40" ht="19.5" x14ac:dyDescent="0.25">
      <c r="A190" s="102" t="s">
        <v>139</v>
      </c>
      <c r="B190" s="103"/>
      <c r="C190" s="103"/>
      <c r="D190" s="103"/>
      <c r="E190" s="103"/>
      <c r="F190" s="103"/>
      <c r="G190" s="103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R190" s="103"/>
      <c r="S190" s="103"/>
      <c r="T190" s="103"/>
      <c r="U190" s="103"/>
      <c r="V190" s="103"/>
      <c r="W190" s="103"/>
      <c r="X190" s="103"/>
      <c r="Y190" s="103"/>
      <c r="Z190" s="103"/>
      <c r="AA190" s="103"/>
      <c r="AB190" s="103"/>
      <c r="AC190" s="103"/>
      <c r="AD190" s="103"/>
      <c r="AE190" s="104"/>
      <c r="AF190" s="104"/>
      <c r="AG190" s="104"/>
      <c r="AH190" s="104"/>
      <c r="AI190" s="105"/>
      <c r="AJ190" s="106"/>
      <c r="AK190" s="147"/>
      <c r="AL190" s="247" t="s">
        <v>287</v>
      </c>
      <c r="AM190" s="247"/>
      <c r="AN190" s="247"/>
    </row>
    <row r="191" spans="1:40" ht="19.5" x14ac:dyDescent="0.25">
      <c r="A191" s="107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10"/>
      <c r="AI191" s="110"/>
      <c r="AJ191" s="111"/>
      <c r="AK191" s="148"/>
      <c r="AL191" s="247"/>
      <c r="AM191" s="247"/>
      <c r="AN191" s="247"/>
    </row>
    <row r="192" spans="1:40" ht="19.5" x14ac:dyDescent="0.25">
      <c r="A192" s="107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10"/>
      <c r="AI192" s="110"/>
      <c r="AJ192" s="112"/>
      <c r="AK192" s="110"/>
      <c r="AL192" s="247"/>
      <c r="AM192" s="247"/>
      <c r="AN192" s="247"/>
    </row>
    <row r="193" spans="1:40" ht="19.5" x14ac:dyDescent="0.25">
      <c r="A193" s="113" t="s">
        <v>25</v>
      </c>
      <c r="B193" s="108" t="s">
        <v>26</v>
      </c>
      <c r="C193" s="108" t="s">
        <v>114</v>
      </c>
      <c r="D193" s="108" t="s">
        <v>34</v>
      </c>
      <c r="E193" s="108" t="s">
        <v>34</v>
      </c>
      <c r="F193" s="108" t="s">
        <v>34</v>
      </c>
      <c r="G193" s="108" t="s">
        <v>34</v>
      </c>
      <c r="H193" s="108" t="s">
        <v>34</v>
      </c>
      <c r="I193" s="108" t="s">
        <v>34</v>
      </c>
      <c r="J193" s="108" t="s">
        <v>34</v>
      </c>
      <c r="K193" s="108"/>
      <c r="L193" s="108" t="s">
        <v>115</v>
      </c>
      <c r="M193" s="109"/>
      <c r="N193" s="114" t="s">
        <v>116</v>
      </c>
      <c r="O193" s="114"/>
      <c r="P193" s="114"/>
      <c r="Q193" s="114"/>
      <c r="R193" s="114"/>
      <c r="S193" s="114"/>
      <c r="T193" s="114"/>
      <c r="U193" s="114"/>
      <c r="V193" s="114"/>
      <c r="W193" s="114"/>
      <c r="X193" s="114"/>
      <c r="Y193" s="114"/>
      <c r="Z193" s="114"/>
      <c r="AA193" s="114"/>
      <c r="AB193" s="114"/>
      <c r="AC193" s="114"/>
      <c r="AD193" s="114"/>
      <c r="AE193" s="114"/>
      <c r="AF193" s="114"/>
      <c r="AG193" s="114"/>
      <c r="AH193" s="115" t="s">
        <v>117</v>
      </c>
      <c r="AI193" s="115" t="s">
        <v>165</v>
      </c>
      <c r="AJ193" s="116" t="s">
        <v>91</v>
      </c>
      <c r="AK193" s="115"/>
      <c r="AL193" s="247"/>
      <c r="AM193" s="247"/>
      <c r="AN193" s="247"/>
    </row>
    <row r="194" spans="1:40" ht="19.5" x14ac:dyDescent="0.25">
      <c r="A194" s="107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10"/>
      <c r="AI194" s="110"/>
      <c r="AJ194" s="112"/>
      <c r="AK194" s="110"/>
      <c r="AL194" s="247"/>
      <c r="AM194" s="247"/>
      <c r="AN194" s="247"/>
    </row>
    <row r="195" spans="1:40" ht="19.5" x14ac:dyDescent="0.3">
      <c r="A195" s="107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9"/>
      <c r="M195" s="109"/>
      <c r="N195" s="117"/>
      <c r="O195" s="118"/>
      <c r="P195" s="118"/>
      <c r="Q195" s="117"/>
      <c r="R195" s="117"/>
      <c r="S195" s="117"/>
      <c r="T195" s="117"/>
      <c r="U195" s="117"/>
      <c r="V195" s="117"/>
      <c r="W195" s="118"/>
      <c r="X195" s="118"/>
      <c r="Y195" s="118"/>
      <c r="Z195" s="118"/>
      <c r="AA195" s="118"/>
      <c r="AB195" s="118"/>
      <c r="AC195" s="117"/>
      <c r="AD195" s="117"/>
      <c r="AE195" s="117"/>
      <c r="AF195" s="117"/>
      <c r="AG195" s="117"/>
      <c r="AH195" s="110"/>
      <c r="AI195" s="110"/>
      <c r="AJ195" s="119"/>
      <c r="AK195" s="149"/>
      <c r="AL195" s="247"/>
      <c r="AM195" s="247"/>
      <c r="AN195" s="247"/>
    </row>
    <row r="196" spans="1:40" ht="19.5" x14ac:dyDescent="0.25">
      <c r="A196" s="120" t="s">
        <v>118</v>
      </c>
      <c r="B196" s="121" t="s">
        <v>119</v>
      </c>
      <c r="C196" s="121" t="s">
        <v>33</v>
      </c>
      <c r="D196" s="121" t="s">
        <v>159</v>
      </c>
      <c r="E196" s="121" t="s">
        <v>24</v>
      </c>
      <c r="F196" s="121" t="s">
        <v>161</v>
      </c>
      <c r="G196" s="121" t="s">
        <v>117</v>
      </c>
      <c r="H196" s="121" t="s">
        <v>163</v>
      </c>
      <c r="I196" s="121" t="s">
        <v>136</v>
      </c>
      <c r="J196" s="121" t="s">
        <v>164</v>
      </c>
      <c r="K196" s="121" t="s">
        <v>240</v>
      </c>
      <c r="L196" s="121" t="s">
        <v>35</v>
      </c>
      <c r="M196" s="121" t="s">
        <v>120</v>
      </c>
      <c r="N196" s="121" t="s">
        <v>121</v>
      </c>
      <c r="O196" s="121" t="s">
        <v>122</v>
      </c>
      <c r="P196" s="121" t="s">
        <v>120</v>
      </c>
      <c r="Q196" s="121" t="s">
        <v>121</v>
      </c>
      <c r="R196" s="121" t="s">
        <v>122</v>
      </c>
      <c r="S196" s="121" t="s">
        <v>120</v>
      </c>
      <c r="T196" s="121" t="s">
        <v>121</v>
      </c>
      <c r="U196" s="121" t="s">
        <v>122</v>
      </c>
      <c r="V196" s="121" t="s">
        <v>120</v>
      </c>
      <c r="W196" s="121" t="s">
        <v>121</v>
      </c>
      <c r="X196" s="121" t="s">
        <v>122</v>
      </c>
      <c r="Y196" s="121" t="s">
        <v>120</v>
      </c>
      <c r="Z196" s="121" t="s">
        <v>121</v>
      </c>
      <c r="AA196" s="121" t="s">
        <v>122</v>
      </c>
      <c r="AB196" s="121" t="s">
        <v>120</v>
      </c>
      <c r="AC196" s="121" t="s">
        <v>121</v>
      </c>
      <c r="AD196" s="121" t="s">
        <v>122</v>
      </c>
      <c r="AE196" s="121" t="s">
        <v>120</v>
      </c>
      <c r="AF196" s="121" t="s">
        <v>121</v>
      </c>
      <c r="AG196" s="121" t="s">
        <v>122</v>
      </c>
      <c r="AH196" s="122" t="s">
        <v>39</v>
      </c>
      <c r="AI196" s="122" t="s">
        <v>39</v>
      </c>
      <c r="AJ196" s="123" t="s">
        <v>122</v>
      </c>
      <c r="AK196" s="150"/>
      <c r="AL196" s="143" t="s">
        <v>288</v>
      </c>
      <c r="AM196" s="143" t="s">
        <v>289</v>
      </c>
      <c r="AN196" s="143" t="s">
        <v>33</v>
      </c>
    </row>
    <row r="197" spans="1:40" ht="15.75" x14ac:dyDescent="0.25">
      <c r="A197" s="36" t="s">
        <v>40</v>
      </c>
      <c r="B197" s="37" t="s">
        <v>123</v>
      </c>
      <c r="C197" s="37" t="str">
        <f>CONCATENATE(A197," ",B197)</f>
        <v>Shot S-70 LINGUA ESPANHOLA</v>
      </c>
      <c r="D197" s="37" t="s">
        <v>268</v>
      </c>
      <c r="E197" s="37" t="s">
        <v>270</v>
      </c>
      <c r="F197" s="37" t="s">
        <v>272</v>
      </c>
      <c r="G197" s="37" t="s">
        <v>273</v>
      </c>
      <c r="H197" s="37" t="s">
        <v>275</v>
      </c>
      <c r="I197" s="37" t="s">
        <v>277</v>
      </c>
      <c r="J197" s="37" t="s">
        <v>279</v>
      </c>
      <c r="K197" s="37" t="s">
        <v>205</v>
      </c>
      <c r="L197" s="37" t="s">
        <v>236</v>
      </c>
      <c r="M197" s="38">
        <v>40</v>
      </c>
      <c r="N197" s="39" t="s">
        <v>246</v>
      </c>
      <c r="O197" s="40" t="s">
        <v>156</v>
      </c>
      <c r="P197" s="38">
        <v>45</v>
      </c>
      <c r="Q197" s="41" t="s">
        <v>263</v>
      </c>
      <c r="R197" s="42" t="s">
        <v>101</v>
      </c>
      <c r="S197" s="38">
        <v>80</v>
      </c>
      <c r="T197" s="39" t="s">
        <v>261</v>
      </c>
      <c r="U197" s="42" t="s">
        <v>43</v>
      </c>
      <c r="V197" s="38">
        <v>120</v>
      </c>
      <c r="W197" s="39" t="s">
        <v>262</v>
      </c>
      <c r="X197" s="42" t="s">
        <v>102</v>
      </c>
      <c r="Y197" s="43"/>
      <c r="Z197" s="44"/>
      <c r="AA197" s="44"/>
      <c r="AB197" s="44"/>
      <c r="AC197" s="44"/>
      <c r="AD197" s="44"/>
      <c r="AE197" s="44"/>
      <c r="AF197" s="44"/>
      <c r="AG197" s="44"/>
      <c r="AH197" s="37" t="s">
        <v>292</v>
      </c>
      <c r="AI197" s="49" t="s">
        <v>48</v>
      </c>
      <c r="AJ197" s="52" t="s">
        <v>241</v>
      </c>
      <c r="AK197" s="145" t="str">
        <f>C197</f>
        <v>Shot S-70 LINGUA ESPANHOLA</v>
      </c>
      <c r="AL197" s="140" t="s">
        <v>290</v>
      </c>
      <c r="AM197" s="141" t="str">
        <f t="shared" ref="AM197:AM204" si="80">IF(COUNTBLANK(M197:AG197)=15,"2 Malhas",IF(COUNTBLANK(M197:AG197)=12,"3 Malhas",IF(COUNTBLANK(M197:AG197)=9,"4 Malhas",IF(COUNTBLANK(M197:AG197)=6,"5 Malhas",IF(COUNTBLANK(M197:AG197)=3,"6 Malhas",IF(COUNTBLANK(M197:AG197)=0,"7 Malhas",))))))</f>
        <v>4 Malhas</v>
      </c>
      <c r="AN197" s="141" t="str">
        <f>CONCATENATE(AL197," ",AM197)</f>
        <v>Shot 4 Malhas</v>
      </c>
    </row>
    <row r="198" spans="1:40" ht="15.75" x14ac:dyDescent="0.25">
      <c r="A198" s="36" t="s">
        <v>44</v>
      </c>
      <c r="B198" s="37" t="s">
        <v>123</v>
      </c>
      <c r="C198" s="37" t="str">
        <f t="shared" ref="C198:C221" si="81">CONCATENATE(A198," ",B198)</f>
        <v>Shot S-110 LINGUA ESPANHOLA</v>
      </c>
      <c r="D198" s="37" t="s">
        <v>268</v>
      </c>
      <c r="E198" s="37" t="s">
        <v>270</v>
      </c>
      <c r="F198" s="37" t="s">
        <v>272</v>
      </c>
      <c r="G198" s="37" t="s">
        <v>273</v>
      </c>
      <c r="H198" s="37" t="s">
        <v>275</v>
      </c>
      <c r="I198" s="37" t="s">
        <v>277</v>
      </c>
      <c r="J198" s="37" t="s">
        <v>279</v>
      </c>
      <c r="K198" s="37" t="s">
        <v>205</v>
      </c>
      <c r="L198" s="37" t="s">
        <v>236</v>
      </c>
      <c r="M198" s="38">
        <v>30</v>
      </c>
      <c r="N198" s="38" t="s">
        <v>247</v>
      </c>
      <c r="O198" s="40" t="s">
        <v>156</v>
      </c>
      <c r="P198" s="38">
        <v>35</v>
      </c>
      <c r="Q198" s="45" t="s">
        <v>264</v>
      </c>
      <c r="R198" s="42" t="s">
        <v>101</v>
      </c>
      <c r="S198" s="38">
        <v>50</v>
      </c>
      <c r="T198" s="45" t="s">
        <v>260</v>
      </c>
      <c r="U198" s="42" t="s">
        <v>43</v>
      </c>
      <c r="V198" s="38">
        <v>80</v>
      </c>
      <c r="W198" s="45" t="s">
        <v>261</v>
      </c>
      <c r="X198" s="42" t="s">
        <v>102</v>
      </c>
      <c r="Y198" s="43"/>
      <c r="Z198" s="44"/>
      <c r="AA198" s="44"/>
      <c r="AB198" s="44"/>
      <c r="AC198" s="44"/>
      <c r="AD198" s="44"/>
      <c r="AE198" s="44"/>
      <c r="AF198" s="44"/>
      <c r="AG198" s="44"/>
      <c r="AH198" s="37" t="s">
        <v>292</v>
      </c>
      <c r="AI198" s="49" t="s">
        <v>48</v>
      </c>
      <c r="AJ198" s="52" t="s">
        <v>241</v>
      </c>
      <c r="AK198" s="145" t="str">
        <f t="shared" ref="AK198:AK223" si="82">C198</f>
        <v>Shot S-110 LINGUA ESPANHOLA</v>
      </c>
      <c r="AL198" s="140" t="s">
        <v>290</v>
      </c>
      <c r="AM198" s="141" t="str">
        <f t="shared" si="80"/>
        <v>4 Malhas</v>
      </c>
      <c r="AN198" s="141" t="str">
        <f t="shared" ref="AN198:AN223" si="83">CONCATENATE(AL198," ",AM198)</f>
        <v>Shot 4 Malhas</v>
      </c>
    </row>
    <row r="199" spans="1:40" ht="15.75" x14ac:dyDescent="0.25">
      <c r="A199" s="36" t="s">
        <v>45</v>
      </c>
      <c r="B199" s="37" t="s">
        <v>123</v>
      </c>
      <c r="C199" s="37" t="str">
        <f t="shared" si="81"/>
        <v>Shot S-170 LINGUA ESPANHOLA</v>
      </c>
      <c r="D199" s="37" t="s">
        <v>268</v>
      </c>
      <c r="E199" s="37" t="s">
        <v>270</v>
      </c>
      <c r="F199" s="37" t="s">
        <v>272</v>
      </c>
      <c r="G199" s="37" t="s">
        <v>273</v>
      </c>
      <c r="H199" s="37" t="s">
        <v>275</v>
      </c>
      <c r="I199" s="37" t="s">
        <v>277</v>
      </c>
      <c r="J199" s="37" t="s">
        <v>279</v>
      </c>
      <c r="K199" s="37" t="s">
        <v>205</v>
      </c>
      <c r="L199" s="37" t="s">
        <v>236</v>
      </c>
      <c r="M199" s="38">
        <v>20</v>
      </c>
      <c r="N199" s="45" t="s">
        <v>248</v>
      </c>
      <c r="O199" s="40" t="s">
        <v>156</v>
      </c>
      <c r="P199" s="38">
        <v>25</v>
      </c>
      <c r="Q199" s="45" t="s">
        <v>259</v>
      </c>
      <c r="R199" s="42" t="s">
        <v>101</v>
      </c>
      <c r="S199" s="38">
        <v>40</v>
      </c>
      <c r="T199" s="45" t="s">
        <v>246</v>
      </c>
      <c r="U199" s="37" t="s">
        <v>103</v>
      </c>
      <c r="V199" s="38">
        <v>45</v>
      </c>
      <c r="W199" s="45" t="s">
        <v>263</v>
      </c>
      <c r="X199" s="37" t="s">
        <v>104</v>
      </c>
      <c r="Y199" s="43"/>
      <c r="Z199" s="44"/>
      <c r="AA199" s="44"/>
      <c r="AB199" s="44"/>
      <c r="AC199" s="44"/>
      <c r="AD199" s="44"/>
      <c r="AE199" s="44"/>
      <c r="AF199" s="44"/>
      <c r="AG199" s="44"/>
      <c r="AH199" s="37" t="s">
        <v>292</v>
      </c>
      <c r="AI199" s="49" t="s">
        <v>48</v>
      </c>
      <c r="AJ199" s="52" t="s">
        <v>241</v>
      </c>
      <c r="AK199" s="145" t="str">
        <f t="shared" si="82"/>
        <v>Shot S-170 LINGUA ESPANHOLA</v>
      </c>
      <c r="AL199" s="140" t="s">
        <v>290</v>
      </c>
      <c r="AM199" s="141" t="str">
        <f t="shared" si="80"/>
        <v>4 Malhas</v>
      </c>
      <c r="AN199" s="141" t="str">
        <f t="shared" si="83"/>
        <v>Shot 4 Malhas</v>
      </c>
    </row>
    <row r="200" spans="1:40" ht="15.75" x14ac:dyDescent="0.25">
      <c r="A200" s="36" t="s">
        <v>46</v>
      </c>
      <c r="B200" s="37" t="s">
        <v>123</v>
      </c>
      <c r="C200" s="37" t="str">
        <f t="shared" si="81"/>
        <v>Shot S-230 LINGUA ESPANHOLA</v>
      </c>
      <c r="D200" s="37" t="s">
        <v>268</v>
      </c>
      <c r="E200" s="37" t="s">
        <v>270</v>
      </c>
      <c r="F200" s="37" t="s">
        <v>272</v>
      </c>
      <c r="G200" s="37" t="s">
        <v>273</v>
      </c>
      <c r="H200" s="37" t="s">
        <v>275</v>
      </c>
      <c r="I200" s="37" t="s">
        <v>277</v>
      </c>
      <c r="J200" s="37" t="s">
        <v>279</v>
      </c>
      <c r="K200" s="37" t="s">
        <v>205</v>
      </c>
      <c r="L200" s="37" t="s">
        <v>236</v>
      </c>
      <c r="M200" s="38">
        <v>18</v>
      </c>
      <c r="N200" s="124" t="s">
        <v>249</v>
      </c>
      <c r="O200" s="40" t="s">
        <v>156</v>
      </c>
      <c r="P200" s="38">
        <v>20</v>
      </c>
      <c r="Q200" s="45" t="s">
        <v>248</v>
      </c>
      <c r="R200" s="42" t="s">
        <v>101</v>
      </c>
      <c r="S200" s="38">
        <v>30</v>
      </c>
      <c r="T200" s="45" t="s">
        <v>247</v>
      </c>
      <c r="U200" s="37" t="s">
        <v>103</v>
      </c>
      <c r="V200" s="38">
        <v>35</v>
      </c>
      <c r="W200" s="45" t="s">
        <v>264</v>
      </c>
      <c r="X200" s="37" t="s">
        <v>104</v>
      </c>
      <c r="Y200" s="43"/>
      <c r="Z200" s="44"/>
      <c r="AA200" s="44"/>
      <c r="AB200" s="44"/>
      <c r="AC200" s="44"/>
      <c r="AD200" s="44"/>
      <c r="AE200" s="44"/>
      <c r="AF200" s="44"/>
      <c r="AG200" s="44"/>
      <c r="AH200" s="37" t="s">
        <v>292</v>
      </c>
      <c r="AI200" s="49" t="s">
        <v>48</v>
      </c>
      <c r="AJ200" s="52" t="s">
        <v>241</v>
      </c>
      <c r="AK200" s="145" t="str">
        <f t="shared" si="82"/>
        <v>Shot S-230 LINGUA ESPANHOLA</v>
      </c>
      <c r="AL200" s="140" t="s">
        <v>290</v>
      </c>
      <c r="AM200" s="141" t="str">
        <f t="shared" si="80"/>
        <v>4 Malhas</v>
      </c>
      <c r="AN200" s="141" t="str">
        <f t="shared" si="83"/>
        <v>Shot 4 Malhas</v>
      </c>
    </row>
    <row r="201" spans="1:40" ht="15.75" x14ac:dyDescent="0.25">
      <c r="A201" s="36" t="s">
        <v>47</v>
      </c>
      <c r="B201" s="37" t="s">
        <v>123</v>
      </c>
      <c r="C201" s="37" t="str">
        <f t="shared" si="81"/>
        <v>Shot S-280 LINGUA ESPANHOLA</v>
      </c>
      <c r="D201" s="37" t="s">
        <v>268</v>
      </c>
      <c r="E201" s="37" t="s">
        <v>270</v>
      </c>
      <c r="F201" s="37" t="s">
        <v>272</v>
      </c>
      <c r="G201" s="37" t="s">
        <v>273</v>
      </c>
      <c r="H201" s="37" t="s">
        <v>275</v>
      </c>
      <c r="I201" s="37" t="s">
        <v>277</v>
      </c>
      <c r="J201" s="37" t="s">
        <v>279</v>
      </c>
      <c r="K201" s="37" t="s">
        <v>205</v>
      </c>
      <c r="L201" s="37" t="s">
        <v>236</v>
      </c>
      <c r="M201" s="38">
        <v>16</v>
      </c>
      <c r="N201" s="124" t="s">
        <v>250</v>
      </c>
      <c r="O201" s="40" t="s">
        <v>156</v>
      </c>
      <c r="P201" s="38">
        <v>18</v>
      </c>
      <c r="Q201" s="124" t="s">
        <v>249</v>
      </c>
      <c r="R201" s="37" t="s">
        <v>105</v>
      </c>
      <c r="S201" s="38">
        <v>25</v>
      </c>
      <c r="T201" s="45" t="s">
        <v>259</v>
      </c>
      <c r="U201" s="37" t="s">
        <v>103</v>
      </c>
      <c r="V201" s="38">
        <v>30</v>
      </c>
      <c r="W201" s="45" t="s">
        <v>247</v>
      </c>
      <c r="X201" s="37" t="s">
        <v>106</v>
      </c>
      <c r="Y201" s="43"/>
      <c r="Z201" s="44"/>
      <c r="AA201" s="44"/>
      <c r="AB201" s="44"/>
      <c r="AC201" s="44"/>
      <c r="AD201" s="44"/>
      <c r="AE201" s="44"/>
      <c r="AF201" s="44"/>
      <c r="AG201" s="44"/>
      <c r="AH201" s="37" t="s">
        <v>292</v>
      </c>
      <c r="AI201" s="49" t="s">
        <v>48</v>
      </c>
      <c r="AJ201" s="52" t="s">
        <v>241</v>
      </c>
      <c r="AK201" s="145" t="str">
        <f t="shared" si="82"/>
        <v>Shot S-280 LINGUA ESPANHOLA</v>
      </c>
      <c r="AL201" s="140" t="s">
        <v>290</v>
      </c>
      <c r="AM201" s="141" t="str">
        <f t="shared" si="80"/>
        <v>4 Malhas</v>
      </c>
      <c r="AN201" s="141" t="str">
        <f t="shared" si="83"/>
        <v>Shot 4 Malhas</v>
      </c>
    </row>
    <row r="202" spans="1:40" ht="15.75" x14ac:dyDescent="0.25">
      <c r="A202" s="36" t="s">
        <v>49</v>
      </c>
      <c r="B202" s="37" t="s">
        <v>123</v>
      </c>
      <c r="C202" s="37" t="str">
        <f t="shared" si="81"/>
        <v>Shot S-330 LINGUA ESPANHOLA</v>
      </c>
      <c r="D202" s="37" t="s">
        <v>268</v>
      </c>
      <c r="E202" s="37" t="s">
        <v>270</v>
      </c>
      <c r="F202" s="37" t="s">
        <v>272</v>
      </c>
      <c r="G202" s="37" t="s">
        <v>273</v>
      </c>
      <c r="H202" s="37" t="s">
        <v>275</v>
      </c>
      <c r="I202" s="37" t="s">
        <v>277</v>
      </c>
      <c r="J202" s="37" t="s">
        <v>279</v>
      </c>
      <c r="K202" s="37" t="s">
        <v>205</v>
      </c>
      <c r="L202" s="37" t="s">
        <v>236</v>
      </c>
      <c r="M202" s="38">
        <v>14</v>
      </c>
      <c r="N202" s="124" t="s">
        <v>251</v>
      </c>
      <c r="O202" s="40" t="s">
        <v>156</v>
      </c>
      <c r="P202" s="38">
        <v>16</v>
      </c>
      <c r="Q202" s="124" t="s">
        <v>250</v>
      </c>
      <c r="R202" s="37" t="s">
        <v>105</v>
      </c>
      <c r="S202" s="38">
        <v>20</v>
      </c>
      <c r="T202" s="45" t="s">
        <v>248</v>
      </c>
      <c r="U202" s="37" t="s">
        <v>103</v>
      </c>
      <c r="V202" s="38">
        <v>25</v>
      </c>
      <c r="W202" s="45" t="s">
        <v>259</v>
      </c>
      <c r="X202" s="37" t="s">
        <v>106</v>
      </c>
      <c r="Y202" s="43"/>
      <c r="Z202" s="44"/>
      <c r="AA202" s="44"/>
      <c r="AB202" s="44"/>
      <c r="AC202" s="44"/>
      <c r="AD202" s="44"/>
      <c r="AE202" s="44"/>
      <c r="AF202" s="44"/>
      <c r="AG202" s="44"/>
      <c r="AH202" s="37" t="s">
        <v>292</v>
      </c>
      <c r="AI202" s="49" t="s">
        <v>48</v>
      </c>
      <c r="AJ202" s="52" t="s">
        <v>241</v>
      </c>
      <c r="AK202" s="145" t="str">
        <f t="shared" si="82"/>
        <v>Shot S-330 LINGUA ESPANHOLA</v>
      </c>
      <c r="AL202" s="140" t="s">
        <v>290</v>
      </c>
      <c r="AM202" s="141" t="str">
        <f t="shared" si="80"/>
        <v>4 Malhas</v>
      </c>
      <c r="AN202" s="141" t="str">
        <f t="shared" si="83"/>
        <v>Shot 4 Malhas</v>
      </c>
    </row>
    <row r="203" spans="1:40" ht="15.75" x14ac:dyDescent="0.25">
      <c r="A203" s="36" t="s">
        <v>50</v>
      </c>
      <c r="B203" s="37" t="s">
        <v>123</v>
      </c>
      <c r="C203" s="37" t="str">
        <f t="shared" si="81"/>
        <v>Shot S-390 LINGUA ESPANHOLA</v>
      </c>
      <c r="D203" s="37" t="s">
        <v>268</v>
      </c>
      <c r="E203" s="37" t="s">
        <v>270</v>
      </c>
      <c r="F203" s="37" t="s">
        <v>272</v>
      </c>
      <c r="G203" s="37" t="s">
        <v>273</v>
      </c>
      <c r="H203" s="37" t="s">
        <v>275</v>
      </c>
      <c r="I203" s="37" t="s">
        <v>277</v>
      </c>
      <c r="J203" s="37" t="s">
        <v>279</v>
      </c>
      <c r="K203" s="37" t="s">
        <v>205</v>
      </c>
      <c r="L203" s="37" t="s">
        <v>236</v>
      </c>
      <c r="M203" s="38">
        <v>12</v>
      </c>
      <c r="N203" s="124" t="s">
        <v>252</v>
      </c>
      <c r="O203" s="40" t="s">
        <v>156</v>
      </c>
      <c r="P203" s="38">
        <v>14</v>
      </c>
      <c r="Q203" s="124" t="s">
        <v>251</v>
      </c>
      <c r="R203" s="37" t="s">
        <v>105</v>
      </c>
      <c r="S203" s="38">
        <v>18</v>
      </c>
      <c r="T203" s="124" t="s">
        <v>249</v>
      </c>
      <c r="U203" s="37" t="s">
        <v>103</v>
      </c>
      <c r="V203" s="38">
        <v>20</v>
      </c>
      <c r="W203" s="45" t="s">
        <v>248</v>
      </c>
      <c r="X203" s="37" t="s">
        <v>106</v>
      </c>
      <c r="Y203" s="43"/>
      <c r="Z203" s="44"/>
      <c r="AA203" s="44"/>
      <c r="AB203" s="44"/>
      <c r="AC203" s="44"/>
      <c r="AD203" s="44"/>
      <c r="AE203" s="44"/>
      <c r="AF203" s="44"/>
      <c r="AG203" s="44"/>
      <c r="AH203" s="37" t="s">
        <v>292</v>
      </c>
      <c r="AI203" s="49" t="s">
        <v>48</v>
      </c>
      <c r="AJ203" s="52" t="s">
        <v>241</v>
      </c>
      <c r="AK203" s="145" t="str">
        <f t="shared" si="82"/>
        <v>Shot S-390 LINGUA ESPANHOLA</v>
      </c>
      <c r="AL203" s="140" t="s">
        <v>290</v>
      </c>
      <c r="AM203" s="141" t="str">
        <f t="shared" si="80"/>
        <v>4 Malhas</v>
      </c>
      <c r="AN203" s="141" t="str">
        <f t="shared" si="83"/>
        <v>Shot 4 Malhas</v>
      </c>
    </row>
    <row r="204" spans="1:40" ht="15.75" x14ac:dyDescent="0.25">
      <c r="A204" s="36" t="s">
        <v>51</v>
      </c>
      <c r="B204" s="37" t="s">
        <v>123</v>
      </c>
      <c r="C204" s="37" t="str">
        <f t="shared" si="81"/>
        <v>Shot S-460 LINGUA ESPANHOLA</v>
      </c>
      <c r="D204" s="37" t="s">
        <v>268</v>
      </c>
      <c r="E204" s="37" t="s">
        <v>270</v>
      </c>
      <c r="F204" s="37" t="s">
        <v>272</v>
      </c>
      <c r="G204" s="37" t="s">
        <v>273</v>
      </c>
      <c r="H204" s="37" t="s">
        <v>275</v>
      </c>
      <c r="I204" s="37" t="s">
        <v>277</v>
      </c>
      <c r="J204" s="37" t="s">
        <v>279</v>
      </c>
      <c r="K204" s="37" t="s">
        <v>205</v>
      </c>
      <c r="L204" s="37" t="s">
        <v>236</v>
      </c>
      <c r="M204" s="38">
        <v>10</v>
      </c>
      <c r="N204" s="124" t="s">
        <v>253</v>
      </c>
      <c r="O204" s="40" t="s">
        <v>156</v>
      </c>
      <c r="P204" s="38">
        <v>12</v>
      </c>
      <c r="Q204" s="124" t="s">
        <v>252</v>
      </c>
      <c r="R204" s="37" t="s">
        <v>105</v>
      </c>
      <c r="S204" s="38">
        <v>16</v>
      </c>
      <c r="T204" s="124" t="s">
        <v>250</v>
      </c>
      <c r="U204" s="37" t="s">
        <v>103</v>
      </c>
      <c r="V204" s="38">
        <v>18</v>
      </c>
      <c r="W204" s="124" t="s">
        <v>249</v>
      </c>
      <c r="X204" s="37" t="s">
        <v>106</v>
      </c>
      <c r="Y204" s="43"/>
      <c r="Z204" s="44"/>
      <c r="AA204" s="44"/>
      <c r="AB204" s="44"/>
      <c r="AC204" s="44"/>
      <c r="AD204" s="44"/>
      <c r="AE204" s="44"/>
      <c r="AF204" s="44"/>
      <c r="AG204" s="44"/>
      <c r="AH204" s="37" t="s">
        <v>292</v>
      </c>
      <c r="AI204" s="49" t="s">
        <v>48</v>
      </c>
      <c r="AJ204" s="52" t="s">
        <v>241</v>
      </c>
      <c r="AK204" s="145" t="str">
        <f t="shared" si="82"/>
        <v>Shot S-460 LINGUA ESPANHOLA</v>
      </c>
      <c r="AL204" s="140" t="s">
        <v>290</v>
      </c>
      <c r="AM204" s="141" t="str">
        <f t="shared" si="80"/>
        <v>4 Malhas</v>
      </c>
      <c r="AN204" s="141" t="str">
        <f t="shared" si="83"/>
        <v>Shot 4 Malhas</v>
      </c>
    </row>
    <row r="205" spans="1:40" ht="15.75" x14ac:dyDescent="0.25">
      <c r="A205" s="36" t="s">
        <v>52</v>
      </c>
      <c r="B205" s="37" t="s">
        <v>123</v>
      </c>
      <c r="C205" s="37" t="str">
        <f t="shared" si="81"/>
        <v>Shot S-550 LINGUA ESPANHOLA</v>
      </c>
      <c r="D205" s="37" t="s">
        <v>268</v>
      </c>
      <c r="E205" s="37" t="s">
        <v>270</v>
      </c>
      <c r="F205" s="37" t="s">
        <v>272</v>
      </c>
      <c r="G205" s="37" t="s">
        <v>273</v>
      </c>
      <c r="H205" s="37" t="s">
        <v>275</v>
      </c>
      <c r="I205" s="37" t="s">
        <v>277</v>
      </c>
      <c r="J205" s="37" t="s">
        <v>279</v>
      </c>
      <c r="K205" s="37" t="s">
        <v>205</v>
      </c>
      <c r="L205" s="37" t="s">
        <v>236</v>
      </c>
      <c r="M205" s="38">
        <v>10</v>
      </c>
      <c r="N205" s="124" t="s">
        <v>253</v>
      </c>
      <c r="O205" s="40" t="s">
        <v>156</v>
      </c>
      <c r="P205" s="38">
        <v>14</v>
      </c>
      <c r="Q205" s="124" t="s">
        <v>251</v>
      </c>
      <c r="R205" s="37" t="s">
        <v>103</v>
      </c>
      <c r="S205" s="38">
        <v>16</v>
      </c>
      <c r="T205" s="124" t="s">
        <v>250</v>
      </c>
      <c r="U205" s="37" t="s">
        <v>104</v>
      </c>
      <c r="V205" s="38"/>
      <c r="W205" s="46"/>
      <c r="X205" s="44"/>
      <c r="Y205" s="43"/>
      <c r="Z205" s="44"/>
      <c r="AA205" s="44"/>
      <c r="AB205" s="44"/>
      <c r="AC205" s="44"/>
      <c r="AD205" s="44"/>
      <c r="AE205" s="44"/>
      <c r="AF205" s="44"/>
      <c r="AG205" s="44"/>
      <c r="AH205" s="37" t="s">
        <v>292</v>
      </c>
      <c r="AI205" s="49" t="s">
        <v>48</v>
      </c>
      <c r="AJ205" s="52" t="s">
        <v>241</v>
      </c>
      <c r="AK205" s="145" t="str">
        <f t="shared" si="82"/>
        <v>Shot S-550 LINGUA ESPANHOLA</v>
      </c>
      <c r="AL205" s="140" t="s">
        <v>290</v>
      </c>
      <c r="AM205" s="141" t="str">
        <f t="shared" ref="AM205:AM223" si="84">IF(COUNTBLANK(M205:AG205)=15,"2 Malhas",IF(COUNTBLANK(M205:AG205)=12,"3 Malhas",IF(COUNTBLANK(M205:AG205)=9,"4 Malhas",IF(COUNTBLANK(M205:AG205)=6,"5 Malhas",IF(COUNTBLANK(M205:AG205)=3,"6 Malhas",IF(COUNTBLANK(M205:AG205)=0,"7 Malhas",))))))</f>
        <v>3 Malhas</v>
      </c>
      <c r="AN205" s="141" t="str">
        <f t="shared" si="83"/>
        <v>Shot 3 Malhas</v>
      </c>
    </row>
    <row r="206" spans="1:40" ht="15.75" x14ac:dyDescent="0.25">
      <c r="A206" s="36" t="s">
        <v>53</v>
      </c>
      <c r="B206" s="37" t="s">
        <v>123</v>
      </c>
      <c r="C206" s="37" t="str">
        <f t="shared" si="81"/>
        <v>Shot S-660 LINGUA ESPANHOLA</v>
      </c>
      <c r="D206" s="37" t="s">
        <v>268</v>
      </c>
      <c r="E206" s="37" t="s">
        <v>270</v>
      </c>
      <c r="F206" s="37" t="s">
        <v>272</v>
      </c>
      <c r="G206" s="37" t="s">
        <v>273</v>
      </c>
      <c r="H206" s="37" t="s">
        <v>275</v>
      </c>
      <c r="I206" s="37" t="s">
        <v>277</v>
      </c>
      <c r="J206" s="37" t="s">
        <v>279</v>
      </c>
      <c r="K206" s="37" t="s">
        <v>205</v>
      </c>
      <c r="L206" s="37" t="s">
        <v>236</v>
      </c>
      <c r="M206" s="38">
        <v>8</v>
      </c>
      <c r="N206" s="124" t="s">
        <v>254</v>
      </c>
      <c r="O206" s="40" t="s">
        <v>156</v>
      </c>
      <c r="P206" s="38">
        <v>12</v>
      </c>
      <c r="Q206" s="124" t="s">
        <v>252</v>
      </c>
      <c r="R206" s="37" t="s">
        <v>103</v>
      </c>
      <c r="S206" s="38">
        <v>14</v>
      </c>
      <c r="T206" s="124" t="s">
        <v>251</v>
      </c>
      <c r="U206" s="37" t="s">
        <v>104</v>
      </c>
      <c r="V206" s="38"/>
      <c r="W206" s="46"/>
      <c r="X206" s="44"/>
      <c r="Y206" s="43"/>
      <c r="Z206" s="44"/>
      <c r="AA206" s="44"/>
      <c r="AB206" s="44"/>
      <c r="AC206" s="44"/>
      <c r="AD206" s="44"/>
      <c r="AE206" s="44"/>
      <c r="AF206" s="44"/>
      <c r="AG206" s="44"/>
      <c r="AH206" s="37" t="s">
        <v>292</v>
      </c>
      <c r="AI206" s="49" t="s">
        <v>48</v>
      </c>
      <c r="AJ206" s="52" t="s">
        <v>241</v>
      </c>
      <c r="AK206" s="145" t="str">
        <f t="shared" si="82"/>
        <v>Shot S-660 LINGUA ESPANHOLA</v>
      </c>
      <c r="AL206" s="140" t="s">
        <v>290</v>
      </c>
      <c r="AM206" s="141" t="str">
        <f t="shared" si="84"/>
        <v>3 Malhas</v>
      </c>
      <c r="AN206" s="141" t="str">
        <f t="shared" si="83"/>
        <v>Shot 3 Malhas</v>
      </c>
    </row>
    <row r="207" spans="1:40" ht="15.75" x14ac:dyDescent="0.25">
      <c r="A207" s="36" t="s">
        <v>54</v>
      </c>
      <c r="B207" s="37" t="s">
        <v>123</v>
      </c>
      <c r="C207" s="37" t="str">
        <f t="shared" si="81"/>
        <v>Shot S-780 LINGUA ESPANHOLA</v>
      </c>
      <c r="D207" s="37" t="s">
        <v>268</v>
      </c>
      <c r="E207" s="37" t="s">
        <v>270</v>
      </c>
      <c r="F207" s="37" t="s">
        <v>272</v>
      </c>
      <c r="G207" s="37" t="s">
        <v>273</v>
      </c>
      <c r="H207" s="37" t="s">
        <v>275</v>
      </c>
      <c r="I207" s="37" t="s">
        <v>277</v>
      </c>
      <c r="J207" s="37" t="s">
        <v>279</v>
      </c>
      <c r="K207" s="37" t="s">
        <v>205</v>
      </c>
      <c r="L207" s="37" t="s">
        <v>236</v>
      </c>
      <c r="M207" s="38">
        <v>7</v>
      </c>
      <c r="N207" s="124" t="s">
        <v>255</v>
      </c>
      <c r="O207" s="40" t="s">
        <v>156</v>
      </c>
      <c r="P207" s="38">
        <v>10</v>
      </c>
      <c r="Q207" s="124" t="s">
        <v>253</v>
      </c>
      <c r="R207" s="37" t="s">
        <v>103</v>
      </c>
      <c r="S207" s="38">
        <v>12</v>
      </c>
      <c r="T207" s="124" t="s">
        <v>252</v>
      </c>
      <c r="U207" s="37" t="s">
        <v>104</v>
      </c>
      <c r="V207" s="38"/>
      <c r="W207" s="46"/>
      <c r="X207" s="44"/>
      <c r="Y207" s="43"/>
      <c r="Z207" s="44"/>
      <c r="AA207" s="44"/>
      <c r="AB207" s="44"/>
      <c r="AC207" s="44"/>
      <c r="AD207" s="44"/>
      <c r="AE207" s="44"/>
      <c r="AF207" s="44"/>
      <c r="AG207" s="44"/>
      <c r="AH207" s="37" t="s">
        <v>292</v>
      </c>
      <c r="AI207" s="49" t="s">
        <v>48</v>
      </c>
      <c r="AJ207" s="52" t="s">
        <v>241</v>
      </c>
      <c r="AK207" s="145" t="str">
        <f t="shared" si="82"/>
        <v>Shot S-780 LINGUA ESPANHOLA</v>
      </c>
      <c r="AL207" s="140" t="s">
        <v>290</v>
      </c>
      <c r="AM207" s="141" t="str">
        <f t="shared" si="84"/>
        <v>3 Malhas</v>
      </c>
      <c r="AN207" s="141" t="str">
        <f t="shared" si="83"/>
        <v>Shot 3 Malhas</v>
      </c>
    </row>
    <row r="208" spans="1:40" ht="15.75" x14ac:dyDescent="0.25">
      <c r="A208" s="36" t="s">
        <v>55</v>
      </c>
      <c r="B208" s="37" t="s">
        <v>123</v>
      </c>
      <c r="C208" s="37" t="str">
        <f t="shared" si="81"/>
        <v>Grit G-14S LINGUA ESPANHOLA</v>
      </c>
      <c r="D208" s="37" t="s">
        <v>269</v>
      </c>
      <c r="E208" s="37" t="s">
        <v>271</v>
      </c>
      <c r="F208" s="37" t="s">
        <v>272</v>
      </c>
      <c r="G208" s="37" t="s">
        <v>274</v>
      </c>
      <c r="H208" s="37" t="s">
        <v>276</v>
      </c>
      <c r="I208" s="37" t="s">
        <v>278</v>
      </c>
      <c r="J208" s="37" t="s">
        <v>280</v>
      </c>
      <c r="K208" s="37" t="s">
        <v>239</v>
      </c>
      <c r="L208" s="37" t="s">
        <v>236</v>
      </c>
      <c r="M208" s="38">
        <v>10</v>
      </c>
      <c r="N208" s="124" t="s">
        <v>253</v>
      </c>
      <c r="O208" s="40" t="s">
        <v>156</v>
      </c>
      <c r="P208" s="38">
        <v>14</v>
      </c>
      <c r="Q208" s="124" t="s">
        <v>251</v>
      </c>
      <c r="R208" s="47" t="s">
        <v>43</v>
      </c>
      <c r="S208" s="38">
        <v>16</v>
      </c>
      <c r="T208" s="124" t="s">
        <v>250</v>
      </c>
      <c r="U208" s="47" t="s">
        <v>107</v>
      </c>
      <c r="V208" s="38"/>
      <c r="W208" s="46"/>
      <c r="X208" s="44"/>
      <c r="Y208" s="43"/>
      <c r="Z208" s="44"/>
      <c r="AA208" s="44"/>
      <c r="AB208" s="44"/>
      <c r="AC208" s="44"/>
      <c r="AD208" s="44"/>
      <c r="AE208" s="44"/>
      <c r="AF208" s="44"/>
      <c r="AG208" s="44"/>
      <c r="AH208" s="37" t="s">
        <v>293</v>
      </c>
      <c r="AI208" s="42" t="s">
        <v>42</v>
      </c>
      <c r="AJ208" s="52" t="s">
        <v>241</v>
      </c>
      <c r="AK208" s="145" t="str">
        <f t="shared" si="82"/>
        <v>Grit G-14S LINGUA ESPANHOLA</v>
      </c>
      <c r="AL208" s="140" t="s">
        <v>291</v>
      </c>
      <c r="AM208" s="141" t="str">
        <f t="shared" si="84"/>
        <v>3 Malhas</v>
      </c>
      <c r="AN208" s="141" t="str">
        <f t="shared" si="83"/>
        <v>Grit 3 Malhas</v>
      </c>
    </row>
    <row r="209" spans="1:40" ht="15.75" x14ac:dyDescent="0.25">
      <c r="A209" s="36" t="s">
        <v>56</v>
      </c>
      <c r="B209" s="37" t="s">
        <v>123</v>
      </c>
      <c r="C209" s="37" t="str">
        <f t="shared" si="81"/>
        <v>Grit G-16S LINGUA ESPANHOLA</v>
      </c>
      <c r="D209" s="37" t="s">
        <v>269</v>
      </c>
      <c r="E209" s="37" t="s">
        <v>271</v>
      </c>
      <c r="F209" s="37" t="s">
        <v>272</v>
      </c>
      <c r="G209" s="37" t="s">
        <v>274</v>
      </c>
      <c r="H209" s="37" t="s">
        <v>276</v>
      </c>
      <c r="I209" s="37" t="s">
        <v>278</v>
      </c>
      <c r="J209" s="37" t="s">
        <v>280</v>
      </c>
      <c r="K209" s="37" t="s">
        <v>239</v>
      </c>
      <c r="L209" s="37" t="s">
        <v>236</v>
      </c>
      <c r="M209" s="38">
        <v>12</v>
      </c>
      <c r="N209" s="124" t="s">
        <v>252</v>
      </c>
      <c r="O209" s="40" t="s">
        <v>156</v>
      </c>
      <c r="P209" s="38">
        <v>16</v>
      </c>
      <c r="Q209" s="124" t="s">
        <v>250</v>
      </c>
      <c r="R209" s="47" t="s">
        <v>108</v>
      </c>
      <c r="S209" s="38">
        <v>18</v>
      </c>
      <c r="T209" s="124" t="s">
        <v>249</v>
      </c>
      <c r="U209" s="47" t="s">
        <v>103</v>
      </c>
      <c r="V209" s="38"/>
      <c r="W209" s="46"/>
      <c r="X209" s="44"/>
      <c r="Y209" s="43"/>
      <c r="Z209" s="44"/>
      <c r="AA209" s="44"/>
      <c r="AB209" s="44"/>
      <c r="AC209" s="44"/>
      <c r="AD209" s="44"/>
      <c r="AE209" s="44"/>
      <c r="AF209" s="44"/>
      <c r="AG209" s="44"/>
      <c r="AH209" s="37" t="s">
        <v>293</v>
      </c>
      <c r="AI209" s="42" t="s">
        <v>42</v>
      </c>
      <c r="AJ209" s="52" t="s">
        <v>241</v>
      </c>
      <c r="AK209" s="145" t="str">
        <f t="shared" si="82"/>
        <v>Grit G-16S LINGUA ESPANHOLA</v>
      </c>
      <c r="AL209" s="140" t="s">
        <v>291</v>
      </c>
      <c r="AM209" s="141" t="str">
        <f t="shared" si="84"/>
        <v>3 Malhas</v>
      </c>
      <c r="AN209" s="141" t="str">
        <f t="shared" si="83"/>
        <v>Grit 3 Malhas</v>
      </c>
    </row>
    <row r="210" spans="1:40" ht="15.75" x14ac:dyDescent="0.25">
      <c r="A210" s="36" t="s">
        <v>57</v>
      </c>
      <c r="B210" s="37" t="s">
        <v>123</v>
      </c>
      <c r="C210" s="37" t="str">
        <f t="shared" si="81"/>
        <v>Grit G-18S LINGUA ESPANHOLA</v>
      </c>
      <c r="D210" s="37" t="s">
        <v>269</v>
      </c>
      <c r="E210" s="37" t="s">
        <v>271</v>
      </c>
      <c r="F210" s="37" t="s">
        <v>272</v>
      </c>
      <c r="G210" s="37" t="s">
        <v>274</v>
      </c>
      <c r="H210" s="37" t="s">
        <v>276</v>
      </c>
      <c r="I210" s="37" t="s">
        <v>278</v>
      </c>
      <c r="J210" s="37" t="s">
        <v>280</v>
      </c>
      <c r="K210" s="37" t="s">
        <v>239</v>
      </c>
      <c r="L210" s="37" t="s">
        <v>236</v>
      </c>
      <c r="M210" s="38">
        <v>14</v>
      </c>
      <c r="N210" s="124" t="s">
        <v>251</v>
      </c>
      <c r="O210" s="40" t="s">
        <v>156</v>
      </c>
      <c r="P210" s="38">
        <v>18</v>
      </c>
      <c r="Q210" s="124" t="s">
        <v>249</v>
      </c>
      <c r="R210" s="47" t="s">
        <v>108</v>
      </c>
      <c r="S210" s="38">
        <v>25</v>
      </c>
      <c r="T210" s="45" t="s">
        <v>259</v>
      </c>
      <c r="U210" s="47" t="s">
        <v>103</v>
      </c>
      <c r="V210" s="38"/>
      <c r="W210" s="46"/>
      <c r="X210" s="44"/>
      <c r="Y210" s="43"/>
      <c r="Z210" s="44"/>
      <c r="AA210" s="44"/>
      <c r="AB210" s="44"/>
      <c r="AC210" s="44"/>
      <c r="AD210" s="44"/>
      <c r="AE210" s="44"/>
      <c r="AF210" s="44"/>
      <c r="AG210" s="44"/>
      <c r="AH210" s="37" t="s">
        <v>293</v>
      </c>
      <c r="AI210" s="42" t="s">
        <v>42</v>
      </c>
      <c r="AJ210" s="52" t="s">
        <v>241</v>
      </c>
      <c r="AK210" s="145" t="str">
        <f t="shared" si="82"/>
        <v>Grit G-18S LINGUA ESPANHOLA</v>
      </c>
      <c r="AL210" s="140" t="s">
        <v>291</v>
      </c>
      <c r="AM210" s="141" t="str">
        <f t="shared" si="84"/>
        <v>3 Malhas</v>
      </c>
      <c r="AN210" s="141" t="str">
        <f t="shared" si="83"/>
        <v>Grit 3 Malhas</v>
      </c>
    </row>
    <row r="211" spans="1:40" ht="15.75" x14ac:dyDescent="0.25">
      <c r="A211" s="36" t="s">
        <v>58</v>
      </c>
      <c r="B211" s="37" t="s">
        <v>123</v>
      </c>
      <c r="C211" s="37" t="str">
        <f t="shared" si="81"/>
        <v>Grit G-25S LINGUA ESPANHOLA</v>
      </c>
      <c r="D211" s="37" t="s">
        <v>269</v>
      </c>
      <c r="E211" s="37" t="s">
        <v>271</v>
      </c>
      <c r="F211" s="37" t="s">
        <v>272</v>
      </c>
      <c r="G211" s="37" t="s">
        <v>274</v>
      </c>
      <c r="H211" s="37" t="s">
        <v>276</v>
      </c>
      <c r="I211" s="37" t="s">
        <v>278</v>
      </c>
      <c r="J211" s="37" t="s">
        <v>280</v>
      </c>
      <c r="K211" s="37" t="s">
        <v>239</v>
      </c>
      <c r="L211" s="37" t="s">
        <v>236</v>
      </c>
      <c r="M211" s="38">
        <v>16</v>
      </c>
      <c r="N211" s="124" t="s">
        <v>250</v>
      </c>
      <c r="O211" s="40" t="s">
        <v>156</v>
      </c>
      <c r="P211" s="38">
        <v>25</v>
      </c>
      <c r="Q211" s="45" t="s">
        <v>259</v>
      </c>
      <c r="R211" s="47" t="s">
        <v>109</v>
      </c>
      <c r="S211" s="38">
        <v>40</v>
      </c>
      <c r="T211" s="45" t="s">
        <v>246</v>
      </c>
      <c r="U211" s="47" t="s">
        <v>43</v>
      </c>
      <c r="V211" s="38"/>
      <c r="W211" s="46"/>
      <c r="X211" s="44"/>
      <c r="Y211" s="43"/>
      <c r="Z211" s="44"/>
      <c r="AA211" s="44"/>
      <c r="AB211" s="44"/>
      <c r="AC211" s="44"/>
      <c r="AD211" s="44"/>
      <c r="AE211" s="44"/>
      <c r="AF211" s="44"/>
      <c r="AG211" s="44"/>
      <c r="AH211" s="37" t="s">
        <v>293</v>
      </c>
      <c r="AI211" s="42" t="s">
        <v>42</v>
      </c>
      <c r="AJ211" s="52" t="s">
        <v>241</v>
      </c>
      <c r="AK211" s="145" t="str">
        <f t="shared" si="82"/>
        <v>Grit G-25S LINGUA ESPANHOLA</v>
      </c>
      <c r="AL211" s="140" t="s">
        <v>291</v>
      </c>
      <c r="AM211" s="141" t="str">
        <f t="shared" si="84"/>
        <v>3 Malhas</v>
      </c>
      <c r="AN211" s="141" t="str">
        <f t="shared" si="83"/>
        <v>Grit 3 Malhas</v>
      </c>
    </row>
    <row r="212" spans="1:40" ht="15.75" x14ac:dyDescent="0.25">
      <c r="A212" s="36" t="s">
        <v>59</v>
      </c>
      <c r="B212" s="37" t="s">
        <v>123</v>
      </c>
      <c r="C212" s="37" t="str">
        <f t="shared" si="81"/>
        <v>Grit G-40S LINGUA ESPANHOLA</v>
      </c>
      <c r="D212" s="37" t="s">
        <v>269</v>
      </c>
      <c r="E212" s="37" t="s">
        <v>271</v>
      </c>
      <c r="F212" s="37" t="s">
        <v>272</v>
      </c>
      <c r="G212" s="37" t="s">
        <v>274</v>
      </c>
      <c r="H212" s="37" t="s">
        <v>276</v>
      </c>
      <c r="I212" s="37" t="s">
        <v>278</v>
      </c>
      <c r="J212" s="37" t="s">
        <v>280</v>
      </c>
      <c r="K212" s="37" t="s">
        <v>239</v>
      </c>
      <c r="L212" s="37" t="s">
        <v>236</v>
      </c>
      <c r="M212" s="38">
        <v>18</v>
      </c>
      <c r="N212" s="124" t="s">
        <v>249</v>
      </c>
      <c r="O212" s="40" t="s">
        <v>156</v>
      </c>
      <c r="P212" s="38">
        <v>40</v>
      </c>
      <c r="Q212" s="45" t="s">
        <v>246</v>
      </c>
      <c r="R212" s="47" t="s">
        <v>110</v>
      </c>
      <c r="S212" s="38">
        <v>50</v>
      </c>
      <c r="T212" s="45" t="s">
        <v>260</v>
      </c>
      <c r="U212" s="47" t="s">
        <v>43</v>
      </c>
      <c r="V212" s="38"/>
      <c r="W212" s="46"/>
      <c r="X212" s="44"/>
      <c r="Y212" s="43"/>
      <c r="Z212" s="44"/>
      <c r="AA212" s="44"/>
      <c r="AB212" s="44"/>
      <c r="AC212" s="44"/>
      <c r="AD212" s="44"/>
      <c r="AE212" s="44"/>
      <c r="AF212" s="44"/>
      <c r="AG212" s="44"/>
      <c r="AH212" s="37" t="s">
        <v>293</v>
      </c>
      <c r="AI212" s="42" t="s">
        <v>42</v>
      </c>
      <c r="AJ212" s="52" t="s">
        <v>241</v>
      </c>
      <c r="AK212" s="145" t="str">
        <f t="shared" si="82"/>
        <v>Grit G-40S LINGUA ESPANHOLA</v>
      </c>
      <c r="AL212" s="140" t="s">
        <v>291</v>
      </c>
      <c r="AM212" s="141" t="str">
        <f t="shared" si="84"/>
        <v>3 Malhas</v>
      </c>
      <c r="AN212" s="141" t="str">
        <f t="shared" si="83"/>
        <v>Grit 3 Malhas</v>
      </c>
    </row>
    <row r="213" spans="1:40" ht="15.75" x14ac:dyDescent="0.25">
      <c r="A213" s="36" t="s">
        <v>60</v>
      </c>
      <c r="B213" s="37" t="s">
        <v>123</v>
      </c>
      <c r="C213" s="37" t="str">
        <f t="shared" si="81"/>
        <v>Grit G-50S LINGUA ESPANHOLA</v>
      </c>
      <c r="D213" s="37" t="s">
        <v>269</v>
      </c>
      <c r="E213" s="37" t="s">
        <v>271</v>
      </c>
      <c r="F213" s="37" t="s">
        <v>272</v>
      </c>
      <c r="G213" s="37" t="s">
        <v>274</v>
      </c>
      <c r="H213" s="37" t="s">
        <v>276</v>
      </c>
      <c r="I213" s="37" t="s">
        <v>278</v>
      </c>
      <c r="J213" s="37" t="s">
        <v>280</v>
      </c>
      <c r="K213" s="37" t="s">
        <v>239</v>
      </c>
      <c r="L213" s="37" t="s">
        <v>236</v>
      </c>
      <c r="M213" s="38">
        <v>25</v>
      </c>
      <c r="N213" s="45" t="s">
        <v>259</v>
      </c>
      <c r="O213" s="40" t="s">
        <v>156</v>
      </c>
      <c r="P213" s="38">
        <v>50</v>
      </c>
      <c r="Q213" s="45" t="s">
        <v>260</v>
      </c>
      <c r="R213" s="47" t="s">
        <v>111</v>
      </c>
      <c r="S213" s="38">
        <v>80</v>
      </c>
      <c r="T213" s="45" t="s">
        <v>261</v>
      </c>
      <c r="U213" s="47" t="s">
        <v>112</v>
      </c>
      <c r="V213" s="38"/>
      <c r="W213" s="46"/>
      <c r="X213" s="44"/>
      <c r="Y213" s="43"/>
      <c r="Z213" s="44"/>
      <c r="AA213" s="44"/>
      <c r="AB213" s="44"/>
      <c r="AC213" s="44"/>
      <c r="AD213" s="44"/>
      <c r="AE213" s="44"/>
      <c r="AF213" s="44"/>
      <c r="AG213" s="44"/>
      <c r="AH213" s="37" t="s">
        <v>293</v>
      </c>
      <c r="AI213" s="42" t="s">
        <v>42</v>
      </c>
      <c r="AJ213" s="52" t="s">
        <v>241</v>
      </c>
      <c r="AK213" s="145" t="str">
        <f t="shared" si="82"/>
        <v>Grit G-50S LINGUA ESPANHOLA</v>
      </c>
      <c r="AL213" s="140" t="s">
        <v>291</v>
      </c>
      <c r="AM213" s="141" t="str">
        <f t="shared" si="84"/>
        <v>3 Malhas</v>
      </c>
      <c r="AN213" s="141" t="str">
        <f t="shared" si="83"/>
        <v>Grit 3 Malhas</v>
      </c>
    </row>
    <row r="214" spans="1:40" ht="15.75" x14ac:dyDescent="0.25">
      <c r="A214" s="36" t="s">
        <v>61</v>
      </c>
      <c r="B214" s="37" t="s">
        <v>123</v>
      </c>
      <c r="C214" s="37" t="str">
        <f t="shared" si="81"/>
        <v>Grit G-80S LINGUA ESPANHOLA</v>
      </c>
      <c r="D214" s="37" t="s">
        <v>269</v>
      </c>
      <c r="E214" s="37" t="s">
        <v>271</v>
      </c>
      <c r="F214" s="37" t="s">
        <v>272</v>
      </c>
      <c r="G214" s="37" t="s">
        <v>274</v>
      </c>
      <c r="H214" s="37" t="s">
        <v>276</v>
      </c>
      <c r="I214" s="37" t="s">
        <v>278</v>
      </c>
      <c r="J214" s="37" t="s">
        <v>280</v>
      </c>
      <c r="K214" s="37" t="s">
        <v>239</v>
      </c>
      <c r="L214" s="37" t="s">
        <v>236</v>
      </c>
      <c r="M214" s="38">
        <v>40</v>
      </c>
      <c r="N214" s="45" t="s">
        <v>246</v>
      </c>
      <c r="O214" s="40" t="s">
        <v>156</v>
      </c>
      <c r="P214" s="38">
        <v>80</v>
      </c>
      <c r="Q214" s="45" t="s">
        <v>261</v>
      </c>
      <c r="R214" s="47" t="s">
        <v>111</v>
      </c>
      <c r="S214" s="38">
        <v>120</v>
      </c>
      <c r="T214" s="45" t="s">
        <v>262</v>
      </c>
      <c r="U214" s="47" t="s">
        <v>112</v>
      </c>
      <c r="V214" s="38"/>
      <c r="W214" s="46"/>
      <c r="X214" s="44"/>
      <c r="Y214" s="43"/>
      <c r="Z214" s="44"/>
      <c r="AA214" s="44"/>
      <c r="AB214" s="44"/>
      <c r="AC214" s="44"/>
      <c r="AD214" s="44"/>
      <c r="AE214" s="44"/>
      <c r="AF214" s="44"/>
      <c r="AG214" s="44"/>
      <c r="AH214" s="37" t="s">
        <v>293</v>
      </c>
      <c r="AI214" s="42" t="s">
        <v>42</v>
      </c>
      <c r="AJ214" s="52" t="s">
        <v>241</v>
      </c>
      <c r="AK214" s="145" t="str">
        <f t="shared" si="82"/>
        <v>Grit G-80S LINGUA ESPANHOLA</v>
      </c>
      <c r="AL214" s="140" t="s">
        <v>291</v>
      </c>
      <c r="AM214" s="141" t="str">
        <f t="shared" si="84"/>
        <v>3 Malhas</v>
      </c>
      <c r="AN214" s="141" t="str">
        <f t="shared" si="83"/>
        <v>Grit 3 Malhas</v>
      </c>
    </row>
    <row r="215" spans="1:40" ht="15.75" x14ac:dyDescent="0.25">
      <c r="A215" s="36" t="s">
        <v>62</v>
      </c>
      <c r="B215" s="37" t="s">
        <v>123</v>
      </c>
      <c r="C215" s="37" t="str">
        <f t="shared" si="81"/>
        <v>Grit G-120S LINGUA ESPANHOLA</v>
      </c>
      <c r="D215" s="37" t="s">
        <v>269</v>
      </c>
      <c r="E215" s="37" t="s">
        <v>271</v>
      </c>
      <c r="F215" s="37" t="s">
        <v>272</v>
      </c>
      <c r="G215" s="37" t="s">
        <v>274</v>
      </c>
      <c r="H215" s="37" t="s">
        <v>276</v>
      </c>
      <c r="I215" s="37" t="s">
        <v>278</v>
      </c>
      <c r="J215" s="37" t="s">
        <v>280</v>
      </c>
      <c r="K215" s="37" t="s">
        <v>239</v>
      </c>
      <c r="L215" s="37" t="s">
        <v>236</v>
      </c>
      <c r="M215" s="38">
        <v>50</v>
      </c>
      <c r="N215" s="45" t="s">
        <v>260</v>
      </c>
      <c r="O215" s="40" t="s">
        <v>156</v>
      </c>
      <c r="P215" s="38">
        <v>120</v>
      </c>
      <c r="Q215" s="45" t="s">
        <v>262</v>
      </c>
      <c r="R215" s="47" t="s">
        <v>113</v>
      </c>
      <c r="S215" s="38">
        <v>200</v>
      </c>
      <c r="T215" s="45" t="s">
        <v>265</v>
      </c>
      <c r="U215" s="47" t="s">
        <v>110</v>
      </c>
      <c r="V215" s="38"/>
      <c r="W215" s="46"/>
      <c r="X215" s="44"/>
      <c r="Y215" s="43"/>
      <c r="Z215" s="44"/>
      <c r="AA215" s="44"/>
      <c r="AB215" s="44"/>
      <c r="AC215" s="44"/>
      <c r="AD215" s="44"/>
      <c r="AE215" s="44"/>
      <c r="AF215" s="44"/>
      <c r="AG215" s="44"/>
      <c r="AH215" s="37" t="s">
        <v>293</v>
      </c>
      <c r="AI215" s="42" t="s">
        <v>42</v>
      </c>
      <c r="AJ215" s="52" t="s">
        <v>241</v>
      </c>
      <c r="AK215" s="145" t="str">
        <f t="shared" si="82"/>
        <v>Grit G-120S LINGUA ESPANHOLA</v>
      </c>
      <c r="AL215" s="140" t="s">
        <v>291</v>
      </c>
      <c r="AM215" s="141" t="str">
        <f t="shared" si="84"/>
        <v>3 Malhas</v>
      </c>
      <c r="AN215" s="141" t="str">
        <f t="shared" si="83"/>
        <v>Grit 3 Malhas</v>
      </c>
    </row>
    <row r="216" spans="1:40" ht="15.75" x14ac:dyDescent="0.25">
      <c r="A216" s="36" t="s">
        <v>63</v>
      </c>
      <c r="B216" s="37" t="s">
        <v>123</v>
      </c>
      <c r="C216" s="37" t="str">
        <f t="shared" si="81"/>
        <v>Grit G-14M LINGUA ESPANHOLA</v>
      </c>
      <c r="D216" s="37" t="s">
        <v>269</v>
      </c>
      <c r="E216" s="37" t="s">
        <v>271</v>
      </c>
      <c r="F216" s="37" t="s">
        <v>272</v>
      </c>
      <c r="G216" s="37" t="s">
        <v>274</v>
      </c>
      <c r="H216" s="37" t="s">
        <v>276</v>
      </c>
      <c r="I216" s="37" t="s">
        <v>278</v>
      </c>
      <c r="J216" s="37" t="s">
        <v>280</v>
      </c>
      <c r="K216" s="37" t="s">
        <v>239</v>
      </c>
      <c r="L216" s="37" t="s">
        <v>237</v>
      </c>
      <c r="M216" s="38">
        <v>10</v>
      </c>
      <c r="N216" s="124" t="s">
        <v>253</v>
      </c>
      <c r="O216" s="40" t="s">
        <v>156</v>
      </c>
      <c r="P216" s="38">
        <v>14</v>
      </c>
      <c r="Q216" s="124" t="s">
        <v>251</v>
      </c>
      <c r="R216" s="47" t="s">
        <v>43</v>
      </c>
      <c r="S216" s="38">
        <v>16</v>
      </c>
      <c r="T216" s="124" t="s">
        <v>250</v>
      </c>
      <c r="U216" s="47" t="s">
        <v>107</v>
      </c>
      <c r="V216" s="38"/>
      <c r="W216" s="46"/>
      <c r="X216" s="44"/>
      <c r="Y216" s="43"/>
      <c r="Z216" s="44"/>
      <c r="AA216" s="44"/>
      <c r="AB216" s="44"/>
      <c r="AC216" s="44"/>
      <c r="AD216" s="44"/>
      <c r="AE216" s="44"/>
      <c r="AF216" s="44"/>
      <c r="AG216" s="44"/>
      <c r="AH216" s="37" t="s">
        <v>293</v>
      </c>
      <c r="AI216" s="42" t="s">
        <v>42</v>
      </c>
      <c r="AJ216" s="52" t="s">
        <v>241</v>
      </c>
      <c r="AK216" s="145" t="str">
        <f t="shared" si="82"/>
        <v>Grit G-14M LINGUA ESPANHOLA</v>
      </c>
      <c r="AL216" s="140" t="s">
        <v>291</v>
      </c>
      <c r="AM216" s="141" t="str">
        <f t="shared" si="84"/>
        <v>3 Malhas</v>
      </c>
      <c r="AN216" s="141" t="str">
        <f t="shared" si="83"/>
        <v>Grit 3 Malhas</v>
      </c>
    </row>
    <row r="217" spans="1:40" ht="15.75" x14ac:dyDescent="0.25">
      <c r="A217" s="36" t="s">
        <v>64</v>
      </c>
      <c r="B217" s="37" t="s">
        <v>123</v>
      </c>
      <c r="C217" s="37" t="str">
        <f t="shared" si="81"/>
        <v>Grit G-16M LINGUA ESPANHOLA</v>
      </c>
      <c r="D217" s="37" t="s">
        <v>269</v>
      </c>
      <c r="E217" s="37" t="s">
        <v>271</v>
      </c>
      <c r="F217" s="37" t="s">
        <v>272</v>
      </c>
      <c r="G217" s="37" t="s">
        <v>274</v>
      </c>
      <c r="H217" s="37" t="s">
        <v>276</v>
      </c>
      <c r="I217" s="37" t="s">
        <v>278</v>
      </c>
      <c r="J217" s="37" t="s">
        <v>280</v>
      </c>
      <c r="K217" s="37" t="s">
        <v>239</v>
      </c>
      <c r="L217" s="37" t="s">
        <v>237</v>
      </c>
      <c r="M217" s="38">
        <v>12</v>
      </c>
      <c r="N217" s="124" t="s">
        <v>252</v>
      </c>
      <c r="O217" s="40" t="s">
        <v>156</v>
      </c>
      <c r="P217" s="38">
        <v>16</v>
      </c>
      <c r="Q217" s="124" t="s">
        <v>250</v>
      </c>
      <c r="R217" s="47" t="s">
        <v>108</v>
      </c>
      <c r="S217" s="38">
        <v>18</v>
      </c>
      <c r="T217" s="124" t="s">
        <v>249</v>
      </c>
      <c r="U217" s="47" t="s">
        <v>103</v>
      </c>
      <c r="V217" s="38"/>
      <c r="W217" s="46"/>
      <c r="X217" s="44"/>
      <c r="Y217" s="43"/>
      <c r="Z217" s="44"/>
      <c r="AA217" s="44"/>
      <c r="AB217" s="44"/>
      <c r="AC217" s="44"/>
      <c r="AD217" s="44"/>
      <c r="AE217" s="44"/>
      <c r="AF217" s="44"/>
      <c r="AG217" s="44"/>
      <c r="AH217" s="37" t="s">
        <v>293</v>
      </c>
      <c r="AI217" s="42" t="s">
        <v>42</v>
      </c>
      <c r="AJ217" s="52" t="s">
        <v>241</v>
      </c>
      <c r="AK217" s="145" t="str">
        <f t="shared" si="82"/>
        <v>Grit G-16M LINGUA ESPANHOLA</v>
      </c>
      <c r="AL217" s="140" t="s">
        <v>291</v>
      </c>
      <c r="AM217" s="141" t="str">
        <f t="shared" si="84"/>
        <v>3 Malhas</v>
      </c>
      <c r="AN217" s="141" t="str">
        <f t="shared" si="83"/>
        <v>Grit 3 Malhas</v>
      </c>
    </row>
    <row r="218" spans="1:40" ht="15.75" x14ac:dyDescent="0.25">
      <c r="A218" s="36" t="s">
        <v>65</v>
      </c>
      <c r="B218" s="37" t="s">
        <v>123</v>
      </c>
      <c r="C218" s="37" t="str">
        <f t="shared" si="81"/>
        <v>Grit G-18M LINGUA ESPANHOLA</v>
      </c>
      <c r="D218" s="37" t="s">
        <v>269</v>
      </c>
      <c r="E218" s="37" t="s">
        <v>271</v>
      </c>
      <c r="F218" s="37" t="s">
        <v>272</v>
      </c>
      <c r="G218" s="37" t="s">
        <v>274</v>
      </c>
      <c r="H218" s="37" t="s">
        <v>276</v>
      </c>
      <c r="I218" s="37" t="s">
        <v>278</v>
      </c>
      <c r="J218" s="37" t="s">
        <v>280</v>
      </c>
      <c r="K218" s="37" t="s">
        <v>239</v>
      </c>
      <c r="L218" s="37" t="s">
        <v>237</v>
      </c>
      <c r="M218" s="38">
        <v>14</v>
      </c>
      <c r="N218" s="124" t="s">
        <v>251</v>
      </c>
      <c r="O218" s="40" t="s">
        <v>156</v>
      </c>
      <c r="P218" s="38">
        <v>18</v>
      </c>
      <c r="Q218" s="124" t="s">
        <v>249</v>
      </c>
      <c r="R218" s="47" t="s">
        <v>108</v>
      </c>
      <c r="S218" s="38">
        <v>25</v>
      </c>
      <c r="T218" s="45" t="s">
        <v>259</v>
      </c>
      <c r="U218" s="47" t="s">
        <v>103</v>
      </c>
      <c r="V218" s="38"/>
      <c r="W218" s="46"/>
      <c r="X218" s="44"/>
      <c r="Y218" s="43"/>
      <c r="Z218" s="44"/>
      <c r="AA218" s="44"/>
      <c r="AB218" s="44"/>
      <c r="AC218" s="44"/>
      <c r="AD218" s="44"/>
      <c r="AE218" s="44"/>
      <c r="AF218" s="44"/>
      <c r="AG218" s="44"/>
      <c r="AH218" s="37" t="s">
        <v>293</v>
      </c>
      <c r="AI218" s="42" t="s">
        <v>42</v>
      </c>
      <c r="AJ218" s="52" t="s">
        <v>241</v>
      </c>
      <c r="AK218" s="145" t="str">
        <f t="shared" si="82"/>
        <v>Grit G-18M LINGUA ESPANHOLA</v>
      </c>
      <c r="AL218" s="140" t="s">
        <v>291</v>
      </c>
      <c r="AM218" s="141" t="str">
        <f t="shared" si="84"/>
        <v>3 Malhas</v>
      </c>
      <c r="AN218" s="141" t="str">
        <f t="shared" si="83"/>
        <v>Grit 3 Malhas</v>
      </c>
    </row>
    <row r="219" spans="1:40" ht="15.75" x14ac:dyDescent="0.25">
      <c r="A219" s="36" t="s">
        <v>66</v>
      </c>
      <c r="B219" s="37" t="s">
        <v>123</v>
      </c>
      <c r="C219" s="37" t="str">
        <f t="shared" si="81"/>
        <v>Grit G-25M LINGUA ESPANHOLA</v>
      </c>
      <c r="D219" s="37" t="s">
        <v>269</v>
      </c>
      <c r="E219" s="37" t="s">
        <v>271</v>
      </c>
      <c r="F219" s="37" t="s">
        <v>272</v>
      </c>
      <c r="G219" s="37" t="s">
        <v>274</v>
      </c>
      <c r="H219" s="37" t="s">
        <v>276</v>
      </c>
      <c r="I219" s="37" t="s">
        <v>278</v>
      </c>
      <c r="J219" s="37" t="s">
        <v>280</v>
      </c>
      <c r="K219" s="37" t="s">
        <v>239</v>
      </c>
      <c r="L219" s="37" t="s">
        <v>237</v>
      </c>
      <c r="M219" s="38">
        <v>16</v>
      </c>
      <c r="N219" s="124" t="s">
        <v>250</v>
      </c>
      <c r="O219" s="40" t="s">
        <v>156</v>
      </c>
      <c r="P219" s="38">
        <v>25</v>
      </c>
      <c r="Q219" s="45" t="s">
        <v>259</v>
      </c>
      <c r="R219" s="47" t="s">
        <v>109</v>
      </c>
      <c r="S219" s="38">
        <v>40</v>
      </c>
      <c r="T219" s="45" t="s">
        <v>246</v>
      </c>
      <c r="U219" s="47" t="s">
        <v>43</v>
      </c>
      <c r="V219" s="38"/>
      <c r="W219" s="46"/>
      <c r="X219" s="44"/>
      <c r="Y219" s="43"/>
      <c r="Z219" s="44"/>
      <c r="AA219" s="44"/>
      <c r="AB219" s="44"/>
      <c r="AC219" s="44"/>
      <c r="AD219" s="44"/>
      <c r="AE219" s="44"/>
      <c r="AF219" s="44"/>
      <c r="AG219" s="44"/>
      <c r="AH219" s="37" t="s">
        <v>293</v>
      </c>
      <c r="AI219" s="42" t="s">
        <v>42</v>
      </c>
      <c r="AJ219" s="52" t="s">
        <v>241</v>
      </c>
      <c r="AK219" s="145" t="str">
        <f t="shared" si="82"/>
        <v>Grit G-25M LINGUA ESPANHOLA</v>
      </c>
      <c r="AL219" s="140" t="s">
        <v>291</v>
      </c>
      <c r="AM219" s="141" t="str">
        <f t="shared" si="84"/>
        <v>3 Malhas</v>
      </c>
      <c r="AN219" s="141" t="str">
        <f t="shared" si="83"/>
        <v>Grit 3 Malhas</v>
      </c>
    </row>
    <row r="220" spans="1:40" ht="15.75" x14ac:dyDescent="0.25">
      <c r="A220" s="36" t="s">
        <v>67</v>
      </c>
      <c r="B220" s="37" t="s">
        <v>123</v>
      </c>
      <c r="C220" s="37" t="str">
        <f t="shared" si="81"/>
        <v>Grit G-40M LINGUA ESPANHOLA</v>
      </c>
      <c r="D220" s="37" t="s">
        <v>269</v>
      </c>
      <c r="E220" s="37" t="s">
        <v>271</v>
      </c>
      <c r="F220" s="37" t="s">
        <v>272</v>
      </c>
      <c r="G220" s="37" t="s">
        <v>274</v>
      </c>
      <c r="H220" s="37" t="s">
        <v>276</v>
      </c>
      <c r="I220" s="37" t="s">
        <v>278</v>
      </c>
      <c r="J220" s="37" t="s">
        <v>280</v>
      </c>
      <c r="K220" s="37" t="s">
        <v>239</v>
      </c>
      <c r="L220" s="37" t="s">
        <v>237</v>
      </c>
      <c r="M220" s="38">
        <v>18</v>
      </c>
      <c r="N220" s="124" t="s">
        <v>249</v>
      </c>
      <c r="O220" s="40" t="s">
        <v>156</v>
      </c>
      <c r="P220" s="38">
        <v>40</v>
      </c>
      <c r="Q220" s="45" t="s">
        <v>246</v>
      </c>
      <c r="R220" s="47" t="s">
        <v>110</v>
      </c>
      <c r="S220" s="38">
        <v>50</v>
      </c>
      <c r="T220" s="45" t="s">
        <v>260</v>
      </c>
      <c r="U220" s="47" t="s">
        <v>43</v>
      </c>
      <c r="V220" s="38"/>
      <c r="W220" s="46"/>
      <c r="X220" s="44"/>
      <c r="Y220" s="43"/>
      <c r="Z220" s="44"/>
      <c r="AA220" s="44"/>
      <c r="AB220" s="44"/>
      <c r="AC220" s="44"/>
      <c r="AD220" s="44"/>
      <c r="AE220" s="44"/>
      <c r="AF220" s="44"/>
      <c r="AG220" s="44"/>
      <c r="AH220" s="37" t="s">
        <v>293</v>
      </c>
      <c r="AI220" s="42" t="s">
        <v>42</v>
      </c>
      <c r="AJ220" s="52" t="s">
        <v>241</v>
      </c>
      <c r="AK220" s="145" t="str">
        <f t="shared" si="82"/>
        <v>Grit G-40M LINGUA ESPANHOLA</v>
      </c>
      <c r="AL220" s="140" t="s">
        <v>291</v>
      </c>
      <c r="AM220" s="141" t="str">
        <f t="shared" si="84"/>
        <v>3 Malhas</v>
      </c>
      <c r="AN220" s="141" t="str">
        <f t="shared" si="83"/>
        <v>Grit 3 Malhas</v>
      </c>
    </row>
    <row r="221" spans="1:40" ht="15.75" x14ac:dyDescent="0.25">
      <c r="A221" s="36" t="s">
        <v>68</v>
      </c>
      <c r="B221" s="37" t="s">
        <v>123</v>
      </c>
      <c r="C221" s="37" t="str">
        <f t="shared" si="81"/>
        <v>Grit G-50M LINGUA ESPANHOLA</v>
      </c>
      <c r="D221" s="37" t="s">
        <v>269</v>
      </c>
      <c r="E221" s="37" t="s">
        <v>271</v>
      </c>
      <c r="F221" s="37" t="s">
        <v>272</v>
      </c>
      <c r="G221" s="37" t="s">
        <v>274</v>
      </c>
      <c r="H221" s="37" t="s">
        <v>276</v>
      </c>
      <c r="I221" s="37" t="s">
        <v>278</v>
      </c>
      <c r="J221" s="37" t="s">
        <v>280</v>
      </c>
      <c r="K221" s="37" t="s">
        <v>239</v>
      </c>
      <c r="L221" s="37" t="s">
        <v>237</v>
      </c>
      <c r="M221" s="38">
        <v>25</v>
      </c>
      <c r="N221" s="45" t="s">
        <v>259</v>
      </c>
      <c r="O221" s="40" t="s">
        <v>156</v>
      </c>
      <c r="P221" s="38">
        <v>50</v>
      </c>
      <c r="Q221" s="45" t="s">
        <v>260</v>
      </c>
      <c r="R221" s="47" t="s">
        <v>111</v>
      </c>
      <c r="S221" s="38">
        <v>80</v>
      </c>
      <c r="T221" s="45" t="s">
        <v>261</v>
      </c>
      <c r="U221" s="47" t="s">
        <v>112</v>
      </c>
      <c r="V221" s="38"/>
      <c r="W221" s="46"/>
      <c r="X221" s="44"/>
      <c r="Y221" s="43"/>
      <c r="Z221" s="44"/>
      <c r="AA221" s="44"/>
      <c r="AB221" s="44"/>
      <c r="AC221" s="44"/>
      <c r="AD221" s="44"/>
      <c r="AE221" s="44"/>
      <c r="AF221" s="44"/>
      <c r="AG221" s="44"/>
      <c r="AH221" s="37" t="s">
        <v>293</v>
      </c>
      <c r="AI221" s="42" t="s">
        <v>42</v>
      </c>
      <c r="AJ221" s="52" t="s">
        <v>241</v>
      </c>
      <c r="AK221" s="145" t="str">
        <f t="shared" si="82"/>
        <v>Grit G-50M LINGUA ESPANHOLA</v>
      </c>
      <c r="AL221" s="140" t="s">
        <v>291</v>
      </c>
      <c r="AM221" s="141" t="str">
        <f t="shared" si="84"/>
        <v>3 Malhas</v>
      </c>
      <c r="AN221" s="141" t="str">
        <f t="shared" si="83"/>
        <v>Grit 3 Malhas</v>
      </c>
    </row>
    <row r="222" spans="1:40" ht="15.75" x14ac:dyDescent="0.25">
      <c r="A222" s="36" t="s">
        <v>69</v>
      </c>
      <c r="B222" s="37" t="s">
        <v>123</v>
      </c>
      <c r="C222" s="37" t="str">
        <f t="shared" ref="C222:C239" si="85">CONCATENATE(A222," ",B222)</f>
        <v>Grit G-80M LINGUA ESPANHOLA</v>
      </c>
      <c r="D222" s="37" t="s">
        <v>269</v>
      </c>
      <c r="E222" s="37" t="s">
        <v>271</v>
      </c>
      <c r="F222" s="37" t="s">
        <v>272</v>
      </c>
      <c r="G222" s="37" t="s">
        <v>274</v>
      </c>
      <c r="H222" s="37" t="s">
        <v>276</v>
      </c>
      <c r="I222" s="37" t="s">
        <v>278</v>
      </c>
      <c r="J222" s="37" t="s">
        <v>280</v>
      </c>
      <c r="K222" s="37" t="s">
        <v>239</v>
      </c>
      <c r="L222" s="37" t="s">
        <v>237</v>
      </c>
      <c r="M222" s="38">
        <v>40</v>
      </c>
      <c r="N222" s="45" t="s">
        <v>246</v>
      </c>
      <c r="O222" s="40" t="s">
        <v>156</v>
      </c>
      <c r="P222" s="38">
        <v>80</v>
      </c>
      <c r="Q222" s="45" t="s">
        <v>261</v>
      </c>
      <c r="R222" s="47" t="s">
        <v>111</v>
      </c>
      <c r="S222" s="38">
        <v>120</v>
      </c>
      <c r="T222" s="45" t="s">
        <v>262</v>
      </c>
      <c r="U222" s="47" t="s">
        <v>112</v>
      </c>
      <c r="V222" s="38"/>
      <c r="W222" s="46"/>
      <c r="X222" s="44"/>
      <c r="Y222" s="43"/>
      <c r="Z222" s="44"/>
      <c r="AA222" s="44"/>
      <c r="AB222" s="44"/>
      <c r="AC222" s="44"/>
      <c r="AD222" s="44"/>
      <c r="AE222" s="44"/>
      <c r="AF222" s="44"/>
      <c r="AG222" s="44"/>
      <c r="AH222" s="37" t="s">
        <v>293</v>
      </c>
      <c r="AI222" s="42" t="s">
        <v>42</v>
      </c>
      <c r="AJ222" s="52" t="s">
        <v>241</v>
      </c>
      <c r="AK222" s="145" t="str">
        <f t="shared" si="82"/>
        <v>Grit G-80M LINGUA ESPANHOLA</v>
      </c>
      <c r="AL222" s="140" t="s">
        <v>291</v>
      </c>
      <c r="AM222" s="141" t="str">
        <f t="shared" si="84"/>
        <v>3 Malhas</v>
      </c>
      <c r="AN222" s="141" t="str">
        <f t="shared" si="83"/>
        <v>Grit 3 Malhas</v>
      </c>
    </row>
    <row r="223" spans="1:40" ht="15.75" x14ac:dyDescent="0.25">
      <c r="A223" s="36" t="s">
        <v>70</v>
      </c>
      <c r="B223" s="37" t="s">
        <v>123</v>
      </c>
      <c r="C223" s="37" t="str">
        <f t="shared" si="85"/>
        <v>Grit G-120M LINGUA ESPANHOLA</v>
      </c>
      <c r="D223" s="37" t="s">
        <v>269</v>
      </c>
      <c r="E223" s="37" t="s">
        <v>271</v>
      </c>
      <c r="F223" s="37" t="s">
        <v>272</v>
      </c>
      <c r="G223" s="37" t="s">
        <v>274</v>
      </c>
      <c r="H223" s="37" t="s">
        <v>276</v>
      </c>
      <c r="I223" s="37" t="s">
        <v>278</v>
      </c>
      <c r="J223" s="37" t="s">
        <v>280</v>
      </c>
      <c r="K223" s="37" t="s">
        <v>239</v>
      </c>
      <c r="L223" s="37" t="s">
        <v>237</v>
      </c>
      <c r="M223" s="38">
        <v>50</v>
      </c>
      <c r="N223" s="45" t="s">
        <v>260</v>
      </c>
      <c r="O223" s="40" t="s">
        <v>156</v>
      </c>
      <c r="P223" s="38">
        <v>120</v>
      </c>
      <c r="Q223" s="45" t="s">
        <v>262</v>
      </c>
      <c r="R223" s="47" t="s">
        <v>113</v>
      </c>
      <c r="S223" s="38">
        <v>200</v>
      </c>
      <c r="T223" s="45" t="s">
        <v>265</v>
      </c>
      <c r="U223" s="47" t="s">
        <v>110</v>
      </c>
      <c r="V223" s="38"/>
      <c r="W223" s="46"/>
      <c r="X223" s="44"/>
      <c r="Y223" s="43"/>
      <c r="Z223" s="44"/>
      <c r="AA223" s="44"/>
      <c r="AB223" s="44"/>
      <c r="AC223" s="44"/>
      <c r="AD223" s="44"/>
      <c r="AE223" s="44"/>
      <c r="AF223" s="44"/>
      <c r="AG223" s="44"/>
      <c r="AH223" s="37" t="s">
        <v>293</v>
      </c>
      <c r="AI223" s="42" t="s">
        <v>42</v>
      </c>
      <c r="AJ223" s="52" t="s">
        <v>241</v>
      </c>
      <c r="AK223" s="145" t="str">
        <f t="shared" si="82"/>
        <v>Grit G-120M LINGUA ESPANHOLA</v>
      </c>
      <c r="AL223" s="140" t="s">
        <v>291</v>
      </c>
      <c r="AM223" s="141" t="str">
        <f t="shared" si="84"/>
        <v>3 Malhas</v>
      </c>
      <c r="AN223" s="141" t="str">
        <f t="shared" si="83"/>
        <v>Grit 3 Malhas</v>
      </c>
    </row>
    <row r="224" spans="1:40" ht="15.75" x14ac:dyDescent="0.25">
      <c r="A224" s="36" t="s">
        <v>71</v>
      </c>
      <c r="B224" s="37" t="s">
        <v>123</v>
      </c>
      <c r="C224" s="37" t="str">
        <f t="shared" si="85"/>
        <v>Grit G-14L LINGUA ESPANHOLA</v>
      </c>
      <c r="D224" s="37" t="s">
        <v>269</v>
      </c>
      <c r="E224" s="37" t="s">
        <v>271</v>
      </c>
      <c r="F224" s="37" t="s">
        <v>272</v>
      </c>
      <c r="G224" s="37" t="s">
        <v>274</v>
      </c>
      <c r="H224" s="37" t="s">
        <v>276</v>
      </c>
      <c r="I224" s="37" t="s">
        <v>278</v>
      </c>
      <c r="J224" s="37" t="s">
        <v>280</v>
      </c>
      <c r="K224" s="37" t="s">
        <v>239</v>
      </c>
      <c r="L224" s="37" t="s">
        <v>238</v>
      </c>
      <c r="M224" s="38">
        <v>10</v>
      </c>
      <c r="N224" s="124" t="s">
        <v>253</v>
      </c>
      <c r="O224" s="40" t="s">
        <v>156</v>
      </c>
      <c r="P224" s="38">
        <v>14</v>
      </c>
      <c r="Q224" s="124" t="s">
        <v>251</v>
      </c>
      <c r="R224" s="47" t="s">
        <v>43</v>
      </c>
      <c r="S224" s="38">
        <v>16</v>
      </c>
      <c r="T224" s="124" t="s">
        <v>250</v>
      </c>
      <c r="U224" s="47" t="s">
        <v>107</v>
      </c>
      <c r="V224" s="38"/>
      <c r="W224" s="46"/>
      <c r="X224" s="44"/>
      <c r="Y224" s="43"/>
      <c r="Z224" s="44"/>
      <c r="AA224" s="44"/>
      <c r="AB224" s="44"/>
      <c r="AC224" s="44"/>
      <c r="AD224" s="44"/>
      <c r="AE224" s="44"/>
      <c r="AF224" s="44"/>
      <c r="AG224" s="44"/>
      <c r="AH224" s="37" t="s">
        <v>293</v>
      </c>
      <c r="AI224" s="42" t="s">
        <v>48</v>
      </c>
      <c r="AJ224" s="52" t="s">
        <v>241</v>
      </c>
      <c r="AK224" s="145" t="str">
        <f t="shared" ref="AK224:AK253" si="86">C224</f>
        <v>Grit G-14L LINGUA ESPANHOLA</v>
      </c>
      <c r="AL224" s="140" t="s">
        <v>291</v>
      </c>
      <c r="AM224" s="141" t="str">
        <f t="shared" ref="AM224:AM239" si="87">IF(COUNTBLANK(M224:AG224)=15,"2 Malhas",IF(COUNTBLANK(M224:AG224)=12,"3 Malhas",IF(COUNTBLANK(M224:AG224)=9,"4 Malhas",IF(COUNTBLANK(M224:AG224)=6,"5 Malhas",IF(COUNTBLANK(M224:AG224)=3,"6 Malhas",IF(COUNTBLANK(M224:AG224)=0,"7 Malhas",))))))</f>
        <v>3 Malhas</v>
      </c>
      <c r="AN224" s="141" t="str">
        <f t="shared" ref="AN224:AN253" si="88">CONCATENATE(AL224," ",AM224)</f>
        <v>Grit 3 Malhas</v>
      </c>
    </row>
    <row r="225" spans="1:40" ht="15.75" x14ac:dyDescent="0.25">
      <c r="A225" s="36" t="s">
        <v>72</v>
      </c>
      <c r="B225" s="37" t="s">
        <v>123</v>
      </c>
      <c r="C225" s="37" t="str">
        <f t="shared" si="85"/>
        <v>Grit G-16L LINGUA ESPANHOLA</v>
      </c>
      <c r="D225" s="37" t="s">
        <v>269</v>
      </c>
      <c r="E225" s="37" t="s">
        <v>271</v>
      </c>
      <c r="F225" s="37" t="s">
        <v>272</v>
      </c>
      <c r="G225" s="37" t="s">
        <v>274</v>
      </c>
      <c r="H225" s="37" t="s">
        <v>276</v>
      </c>
      <c r="I225" s="37" t="s">
        <v>278</v>
      </c>
      <c r="J225" s="37" t="s">
        <v>280</v>
      </c>
      <c r="K225" s="37" t="s">
        <v>239</v>
      </c>
      <c r="L225" s="37" t="s">
        <v>238</v>
      </c>
      <c r="M225" s="38">
        <v>12</v>
      </c>
      <c r="N225" s="124" t="s">
        <v>252</v>
      </c>
      <c r="O225" s="40" t="s">
        <v>156</v>
      </c>
      <c r="P225" s="38">
        <v>16</v>
      </c>
      <c r="Q225" s="124" t="s">
        <v>250</v>
      </c>
      <c r="R225" s="47" t="s">
        <v>108</v>
      </c>
      <c r="S225" s="38">
        <v>18</v>
      </c>
      <c r="T225" s="124" t="s">
        <v>249</v>
      </c>
      <c r="U225" s="47" t="s">
        <v>103</v>
      </c>
      <c r="V225" s="38"/>
      <c r="W225" s="46"/>
      <c r="X225" s="44"/>
      <c r="Y225" s="43"/>
      <c r="Z225" s="44"/>
      <c r="AA225" s="44"/>
      <c r="AB225" s="44"/>
      <c r="AC225" s="44"/>
      <c r="AD225" s="44"/>
      <c r="AE225" s="44"/>
      <c r="AF225" s="44"/>
      <c r="AG225" s="44"/>
      <c r="AH225" s="37" t="s">
        <v>293</v>
      </c>
      <c r="AI225" s="42" t="s">
        <v>48</v>
      </c>
      <c r="AJ225" s="52" t="s">
        <v>241</v>
      </c>
      <c r="AK225" s="145" t="str">
        <f t="shared" si="86"/>
        <v>Grit G-16L LINGUA ESPANHOLA</v>
      </c>
      <c r="AL225" s="140" t="s">
        <v>291</v>
      </c>
      <c r="AM225" s="141" t="str">
        <f t="shared" si="87"/>
        <v>3 Malhas</v>
      </c>
      <c r="AN225" s="141" t="str">
        <f t="shared" si="88"/>
        <v>Grit 3 Malhas</v>
      </c>
    </row>
    <row r="226" spans="1:40" ht="15.75" x14ac:dyDescent="0.25">
      <c r="A226" s="36" t="s">
        <v>73</v>
      </c>
      <c r="B226" s="37" t="s">
        <v>123</v>
      </c>
      <c r="C226" s="37" t="str">
        <f t="shared" si="85"/>
        <v>Grit G-18L LINGUA ESPANHOLA</v>
      </c>
      <c r="D226" s="37" t="s">
        <v>269</v>
      </c>
      <c r="E226" s="37" t="s">
        <v>271</v>
      </c>
      <c r="F226" s="37" t="s">
        <v>272</v>
      </c>
      <c r="G226" s="37" t="s">
        <v>274</v>
      </c>
      <c r="H226" s="37" t="s">
        <v>276</v>
      </c>
      <c r="I226" s="37" t="s">
        <v>278</v>
      </c>
      <c r="J226" s="37" t="s">
        <v>280</v>
      </c>
      <c r="K226" s="37" t="s">
        <v>239</v>
      </c>
      <c r="L226" s="37" t="s">
        <v>238</v>
      </c>
      <c r="M226" s="38">
        <v>14</v>
      </c>
      <c r="N226" s="124" t="s">
        <v>251</v>
      </c>
      <c r="O226" s="40" t="s">
        <v>156</v>
      </c>
      <c r="P226" s="38">
        <v>18</v>
      </c>
      <c r="Q226" s="124" t="s">
        <v>249</v>
      </c>
      <c r="R226" s="47" t="s">
        <v>108</v>
      </c>
      <c r="S226" s="38">
        <v>25</v>
      </c>
      <c r="T226" s="45" t="s">
        <v>259</v>
      </c>
      <c r="U226" s="47" t="s">
        <v>103</v>
      </c>
      <c r="V226" s="38"/>
      <c r="W226" s="46"/>
      <c r="X226" s="44"/>
      <c r="Y226" s="43"/>
      <c r="Z226" s="44"/>
      <c r="AA226" s="44"/>
      <c r="AB226" s="44"/>
      <c r="AC226" s="44"/>
      <c r="AD226" s="44"/>
      <c r="AE226" s="44"/>
      <c r="AF226" s="44"/>
      <c r="AG226" s="44"/>
      <c r="AH226" s="37" t="s">
        <v>293</v>
      </c>
      <c r="AI226" s="42" t="s">
        <v>48</v>
      </c>
      <c r="AJ226" s="52" t="s">
        <v>241</v>
      </c>
      <c r="AK226" s="145" t="str">
        <f t="shared" si="86"/>
        <v>Grit G-18L LINGUA ESPANHOLA</v>
      </c>
      <c r="AL226" s="140" t="s">
        <v>291</v>
      </c>
      <c r="AM226" s="141" t="str">
        <f t="shared" si="87"/>
        <v>3 Malhas</v>
      </c>
      <c r="AN226" s="141" t="str">
        <f t="shared" si="88"/>
        <v>Grit 3 Malhas</v>
      </c>
    </row>
    <row r="227" spans="1:40" ht="15.75" x14ac:dyDescent="0.25">
      <c r="A227" s="36" t="s">
        <v>74</v>
      </c>
      <c r="B227" s="37" t="s">
        <v>123</v>
      </c>
      <c r="C227" s="37" t="str">
        <f t="shared" si="85"/>
        <v>Grit G-25L LINGUA ESPANHOLA</v>
      </c>
      <c r="D227" s="37" t="s">
        <v>269</v>
      </c>
      <c r="E227" s="37" t="s">
        <v>271</v>
      </c>
      <c r="F227" s="37" t="s">
        <v>272</v>
      </c>
      <c r="G227" s="37" t="s">
        <v>274</v>
      </c>
      <c r="H227" s="37" t="s">
        <v>276</v>
      </c>
      <c r="I227" s="37" t="s">
        <v>278</v>
      </c>
      <c r="J227" s="37" t="s">
        <v>280</v>
      </c>
      <c r="K227" s="37" t="s">
        <v>239</v>
      </c>
      <c r="L227" s="37" t="s">
        <v>238</v>
      </c>
      <c r="M227" s="38">
        <v>16</v>
      </c>
      <c r="N227" s="124" t="s">
        <v>250</v>
      </c>
      <c r="O227" s="40" t="s">
        <v>156</v>
      </c>
      <c r="P227" s="38">
        <v>25</v>
      </c>
      <c r="Q227" s="45" t="s">
        <v>259</v>
      </c>
      <c r="R227" s="47" t="s">
        <v>109</v>
      </c>
      <c r="S227" s="38">
        <v>40</v>
      </c>
      <c r="T227" s="45" t="s">
        <v>246</v>
      </c>
      <c r="U227" s="47" t="s">
        <v>43</v>
      </c>
      <c r="V227" s="38"/>
      <c r="W227" s="46"/>
      <c r="X227" s="44"/>
      <c r="Y227" s="43"/>
      <c r="Z227" s="44"/>
      <c r="AA227" s="44"/>
      <c r="AB227" s="44"/>
      <c r="AC227" s="44"/>
      <c r="AD227" s="44"/>
      <c r="AE227" s="44"/>
      <c r="AF227" s="44"/>
      <c r="AG227" s="44"/>
      <c r="AH227" s="37" t="s">
        <v>293</v>
      </c>
      <c r="AI227" s="42" t="s">
        <v>48</v>
      </c>
      <c r="AJ227" s="52" t="s">
        <v>241</v>
      </c>
      <c r="AK227" s="145" t="str">
        <f t="shared" si="86"/>
        <v>Grit G-25L LINGUA ESPANHOLA</v>
      </c>
      <c r="AL227" s="140" t="s">
        <v>291</v>
      </c>
      <c r="AM227" s="141" t="str">
        <f t="shared" si="87"/>
        <v>3 Malhas</v>
      </c>
      <c r="AN227" s="141" t="str">
        <f t="shared" si="88"/>
        <v>Grit 3 Malhas</v>
      </c>
    </row>
    <row r="228" spans="1:40" ht="15.75" x14ac:dyDescent="0.25">
      <c r="A228" s="36" t="s">
        <v>75</v>
      </c>
      <c r="B228" s="37" t="s">
        <v>123</v>
      </c>
      <c r="C228" s="37" t="str">
        <f t="shared" si="85"/>
        <v>Grit G-40L LINGUA ESPANHOLA</v>
      </c>
      <c r="D228" s="37" t="s">
        <v>269</v>
      </c>
      <c r="E228" s="37" t="s">
        <v>271</v>
      </c>
      <c r="F228" s="37" t="s">
        <v>272</v>
      </c>
      <c r="G228" s="37" t="s">
        <v>274</v>
      </c>
      <c r="H228" s="37" t="s">
        <v>276</v>
      </c>
      <c r="I228" s="37" t="s">
        <v>278</v>
      </c>
      <c r="J228" s="37" t="s">
        <v>280</v>
      </c>
      <c r="K228" s="37" t="s">
        <v>239</v>
      </c>
      <c r="L228" s="37" t="s">
        <v>238</v>
      </c>
      <c r="M228" s="38">
        <v>18</v>
      </c>
      <c r="N228" s="124" t="s">
        <v>249</v>
      </c>
      <c r="O228" s="40" t="s">
        <v>156</v>
      </c>
      <c r="P228" s="38">
        <v>40</v>
      </c>
      <c r="Q228" s="45" t="s">
        <v>246</v>
      </c>
      <c r="R228" s="47" t="s">
        <v>110</v>
      </c>
      <c r="S228" s="38">
        <v>50</v>
      </c>
      <c r="T228" s="45" t="s">
        <v>260</v>
      </c>
      <c r="U228" s="47" t="s">
        <v>43</v>
      </c>
      <c r="V228" s="38"/>
      <c r="W228" s="46"/>
      <c r="X228" s="44"/>
      <c r="Y228" s="43"/>
      <c r="Z228" s="44"/>
      <c r="AA228" s="44"/>
      <c r="AB228" s="44"/>
      <c r="AC228" s="44"/>
      <c r="AD228" s="44"/>
      <c r="AE228" s="44"/>
      <c r="AF228" s="44"/>
      <c r="AG228" s="44"/>
      <c r="AH228" s="37" t="s">
        <v>293</v>
      </c>
      <c r="AI228" s="42" t="s">
        <v>48</v>
      </c>
      <c r="AJ228" s="52" t="s">
        <v>241</v>
      </c>
      <c r="AK228" s="145" t="str">
        <f t="shared" si="86"/>
        <v>Grit G-40L LINGUA ESPANHOLA</v>
      </c>
      <c r="AL228" s="140" t="s">
        <v>291</v>
      </c>
      <c r="AM228" s="141" t="str">
        <f t="shared" si="87"/>
        <v>3 Malhas</v>
      </c>
      <c r="AN228" s="141" t="str">
        <f t="shared" si="88"/>
        <v>Grit 3 Malhas</v>
      </c>
    </row>
    <row r="229" spans="1:40" ht="15.75" x14ac:dyDescent="0.25">
      <c r="A229" s="36" t="s">
        <v>76</v>
      </c>
      <c r="B229" s="37" t="s">
        <v>123</v>
      </c>
      <c r="C229" s="37" t="str">
        <f t="shared" si="85"/>
        <v>Grit G-50L LINGUA ESPANHOLA</v>
      </c>
      <c r="D229" s="37" t="s">
        <v>269</v>
      </c>
      <c r="E229" s="37" t="s">
        <v>271</v>
      </c>
      <c r="F229" s="37" t="s">
        <v>272</v>
      </c>
      <c r="G229" s="37" t="s">
        <v>274</v>
      </c>
      <c r="H229" s="37" t="s">
        <v>276</v>
      </c>
      <c r="I229" s="37" t="s">
        <v>278</v>
      </c>
      <c r="J229" s="37" t="s">
        <v>280</v>
      </c>
      <c r="K229" s="37" t="s">
        <v>239</v>
      </c>
      <c r="L229" s="37" t="s">
        <v>238</v>
      </c>
      <c r="M229" s="38">
        <v>25</v>
      </c>
      <c r="N229" s="45" t="s">
        <v>259</v>
      </c>
      <c r="O229" s="40" t="s">
        <v>156</v>
      </c>
      <c r="P229" s="38">
        <v>50</v>
      </c>
      <c r="Q229" s="45" t="s">
        <v>260</v>
      </c>
      <c r="R229" s="47" t="s">
        <v>111</v>
      </c>
      <c r="S229" s="38">
        <v>80</v>
      </c>
      <c r="T229" s="45" t="s">
        <v>261</v>
      </c>
      <c r="U229" s="47" t="s">
        <v>112</v>
      </c>
      <c r="V229" s="38"/>
      <c r="W229" s="46"/>
      <c r="X229" s="44"/>
      <c r="Y229" s="43"/>
      <c r="Z229" s="44"/>
      <c r="AA229" s="44"/>
      <c r="AB229" s="44"/>
      <c r="AC229" s="44"/>
      <c r="AD229" s="44"/>
      <c r="AE229" s="44"/>
      <c r="AF229" s="44"/>
      <c r="AG229" s="44"/>
      <c r="AH229" s="37" t="s">
        <v>293</v>
      </c>
      <c r="AI229" s="42" t="s">
        <v>48</v>
      </c>
      <c r="AJ229" s="52" t="s">
        <v>241</v>
      </c>
      <c r="AK229" s="145" t="str">
        <f t="shared" si="86"/>
        <v>Grit G-50L LINGUA ESPANHOLA</v>
      </c>
      <c r="AL229" s="140" t="s">
        <v>291</v>
      </c>
      <c r="AM229" s="141" t="str">
        <f t="shared" si="87"/>
        <v>3 Malhas</v>
      </c>
      <c r="AN229" s="141" t="str">
        <f t="shared" si="88"/>
        <v>Grit 3 Malhas</v>
      </c>
    </row>
    <row r="230" spans="1:40" ht="15.75" x14ac:dyDescent="0.25">
      <c r="A230" s="36" t="s">
        <v>77</v>
      </c>
      <c r="B230" s="37" t="s">
        <v>123</v>
      </c>
      <c r="C230" s="37" t="str">
        <f t="shared" si="85"/>
        <v>Grit G-80L LINGUA ESPANHOLA</v>
      </c>
      <c r="D230" s="37" t="s">
        <v>269</v>
      </c>
      <c r="E230" s="37" t="s">
        <v>271</v>
      </c>
      <c r="F230" s="37" t="s">
        <v>272</v>
      </c>
      <c r="G230" s="37" t="s">
        <v>274</v>
      </c>
      <c r="H230" s="37" t="s">
        <v>276</v>
      </c>
      <c r="I230" s="37" t="s">
        <v>278</v>
      </c>
      <c r="J230" s="37" t="s">
        <v>280</v>
      </c>
      <c r="K230" s="37" t="s">
        <v>239</v>
      </c>
      <c r="L230" s="37" t="s">
        <v>238</v>
      </c>
      <c r="M230" s="38">
        <v>40</v>
      </c>
      <c r="N230" s="45" t="s">
        <v>246</v>
      </c>
      <c r="O230" s="40" t="s">
        <v>156</v>
      </c>
      <c r="P230" s="38">
        <v>80</v>
      </c>
      <c r="Q230" s="45" t="s">
        <v>261</v>
      </c>
      <c r="R230" s="47" t="s">
        <v>111</v>
      </c>
      <c r="S230" s="38">
        <v>120</v>
      </c>
      <c r="T230" s="45" t="s">
        <v>262</v>
      </c>
      <c r="U230" s="47" t="s">
        <v>112</v>
      </c>
      <c r="V230" s="38"/>
      <c r="W230" s="46"/>
      <c r="X230" s="44"/>
      <c r="Y230" s="43"/>
      <c r="Z230" s="44"/>
      <c r="AA230" s="44"/>
      <c r="AB230" s="44"/>
      <c r="AC230" s="44"/>
      <c r="AD230" s="44"/>
      <c r="AE230" s="44"/>
      <c r="AF230" s="44"/>
      <c r="AG230" s="44"/>
      <c r="AH230" s="37" t="s">
        <v>293</v>
      </c>
      <c r="AI230" s="42" t="s">
        <v>48</v>
      </c>
      <c r="AJ230" s="52" t="s">
        <v>241</v>
      </c>
      <c r="AK230" s="145" t="str">
        <f t="shared" si="86"/>
        <v>Grit G-80L LINGUA ESPANHOLA</v>
      </c>
      <c r="AL230" s="140" t="s">
        <v>291</v>
      </c>
      <c r="AM230" s="141" t="str">
        <f t="shared" si="87"/>
        <v>3 Malhas</v>
      </c>
      <c r="AN230" s="141" t="str">
        <f t="shared" si="88"/>
        <v>Grit 3 Malhas</v>
      </c>
    </row>
    <row r="231" spans="1:40" ht="15.75" x14ac:dyDescent="0.25">
      <c r="A231" s="36" t="s">
        <v>78</v>
      </c>
      <c r="B231" s="37" t="s">
        <v>123</v>
      </c>
      <c r="C231" s="37" t="str">
        <f t="shared" si="85"/>
        <v>Grit G-120L LINGUA ESPANHOLA</v>
      </c>
      <c r="D231" s="37" t="s">
        <v>269</v>
      </c>
      <c r="E231" s="37" t="s">
        <v>271</v>
      </c>
      <c r="F231" s="37" t="s">
        <v>272</v>
      </c>
      <c r="G231" s="37" t="s">
        <v>274</v>
      </c>
      <c r="H231" s="37" t="s">
        <v>276</v>
      </c>
      <c r="I231" s="37" t="s">
        <v>278</v>
      </c>
      <c r="J231" s="37" t="s">
        <v>280</v>
      </c>
      <c r="K231" s="37" t="s">
        <v>239</v>
      </c>
      <c r="L231" s="37" t="s">
        <v>238</v>
      </c>
      <c r="M231" s="38">
        <v>50</v>
      </c>
      <c r="N231" s="45" t="s">
        <v>260</v>
      </c>
      <c r="O231" s="40" t="s">
        <v>156</v>
      </c>
      <c r="P231" s="38">
        <v>120</v>
      </c>
      <c r="Q231" s="45" t="s">
        <v>262</v>
      </c>
      <c r="R231" s="47" t="s">
        <v>113</v>
      </c>
      <c r="S231" s="38">
        <v>200</v>
      </c>
      <c r="T231" s="45" t="s">
        <v>265</v>
      </c>
      <c r="U231" s="47" t="s">
        <v>110</v>
      </c>
      <c r="V231" s="38"/>
      <c r="W231" s="46"/>
      <c r="X231" s="44"/>
      <c r="Y231" s="43"/>
      <c r="Z231" s="44"/>
      <c r="AA231" s="44"/>
      <c r="AB231" s="44"/>
      <c r="AC231" s="44"/>
      <c r="AD231" s="44"/>
      <c r="AE231" s="44"/>
      <c r="AF231" s="44"/>
      <c r="AG231" s="44"/>
      <c r="AH231" s="37" t="s">
        <v>293</v>
      </c>
      <c r="AI231" s="42" t="s">
        <v>48</v>
      </c>
      <c r="AJ231" s="52" t="s">
        <v>241</v>
      </c>
      <c r="AK231" s="145" t="str">
        <f t="shared" si="86"/>
        <v>Grit G-120L LINGUA ESPANHOLA</v>
      </c>
      <c r="AL231" s="140" t="s">
        <v>291</v>
      </c>
      <c r="AM231" s="141" t="str">
        <f t="shared" si="87"/>
        <v>3 Malhas</v>
      </c>
      <c r="AN231" s="141" t="str">
        <f t="shared" si="88"/>
        <v>Grit 3 Malhas</v>
      </c>
    </row>
    <row r="232" spans="1:40" ht="15.75" x14ac:dyDescent="0.25">
      <c r="A232" s="36" t="s">
        <v>79</v>
      </c>
      <c r="B232" s="37" t="s">
        <v>123</v>
      </c>
      <c r="C232" s="37" t="str">
        <f t="shared" si="85"/>
        <v>Grit G-14H LINGUA ESPANHOLA</v>
      </c>
      <c r="D232" s="37" t="s">
        <v>269</v>
      </c>
      <c r="E232" s="37" t="s">
        <v>271</v>
      </c>
      <c r="F232" s="37" t="s">
        <v>272</v>
      </c>
      <c r="G232" s="37" t="s">
        <v>274</v>
      </c>
      <c r="H232" s="37" t="s">
        <v>276</v>
      </c>
      <c r="I232" s="37" t="s">
        <v>278</v>
      </c>
      <c r="J232" s="37" t="s">
        <v>280</v>
      </c>
      <c r="K232" s="37" t="s">
        <v>239</v>
      </c>
      <c r="L232" s="37" t="s">
        <v>281</v>
      </c>
      <c r="M232" s="38">
        <v>10</v>
      </c>
      <c r="N232" s="124" t="s">
        <v>253</v>
      </c>
      <c r="O232" s="40" t="s">
        <v>156</v>
      </c>
      <c r="P232" s="38">
        <v>14</v>
      </c>
      <c r="Q232" s="124" t="s">
        <v>251</v>
      </c>
      <c r="R232" s="47" t="s">
        <v>43</v>
      </c>
      <c r="S232" s="38">
        <v>16</v>
      </c>
      <c r="T232" s="124" t="s">
        <v>250</v>
      </c>
      <c r="U232" s="47" t="s">
        <v>107</v>
      </c>
      <c r="V232" s="38"/>
      <c r="W232" s="46"/>
      <c r="X232" s="44"/>
      <c r="Y232" s="43"/>
      <c r="Z232" s="44"/>
      <c r="AA232" s="44"/>
      <c r="AB232" s="44"/>
      <c r="AC232" s="44"/>
      <c r="AD232" s="44"/>
      <c r="AE232" s="44"/>
      <c r="AF232" s="44"/>
      <c r="AG232" s="44"/>
      <c r="AH232" s="37" t="s">
        <v>293</v>
      </c>
      <c r="AI232" s="42" t="s">
        <v>48</v>
      </c>
      <c r="AJ232" s="52" t="s">
        <v>135</v>
      </c>
      <c r="AK232" s="145" t="str">
        <f t="shared" si="86"/>
        <v>Grit G-14H LINGUA ESPANHOLA</v>
      </c>
      <c r="AL232" s="140" t="s">
        <v>291</v>
      </c>
      <c r="AM232" s="141" t="str">
        <f t="shared" si="87"/>
        <v>3 Malhas</v>
      </c>
      <c r="AN232" s="141" t="str">
        <f t="shared" si="88"/>
        <v>Grit 3 Malhas</v>
      </c>
    </row>
    <row r="233" spans="1:40" ht="15.75" x14ac:dyDescent="0.25">
      <c r="A233" s="36" t="s">
        <v>80</v>
      </c>
      <c r="B233" s="37" t="s">
        <v>123</v>
      </c>
      <c r="C233" s="37" t="str">
        <f t="shared" si="85"/>
        <v>Grit G-16H LINGUA ESPANHOLA</v>
      </c>
      <c r="D233" s="37" t="s">
        <v>269</v>
      </c>
      <c r="E233" s="37" t="s">
        <v>271</v>
      </c>
      <c r="F233" s="37" t="s">
        <v>272</v>
      </c>
      <c r="G233" s="37" t="s">
        <v>274</v>
      </c>
      <c r="H233" s="37" t="s">
        <v>276</v>
      </c>
      <c r="I233" s="37" t="s">
        <v>278</v>
      </c>
      <c r="J233" s="37" t="s">
        <v>280</v>
      </c>
      <c r="K233" s="37" t="s">
        <v>239</v>
      </c>
      <c r="L233" s="37" t="s">
        <v>281</v>
      </c>
      <c r="M233" s="38">
        <v>12</v>
      </c>
      <c r="N233" s="124" t="s">
        <v>252</v>
      </c>
      <c r="O233" s="40" t="s">
        <v>156</v>
      </c>
      <c r="P233" s="38">
        <v>16</v>
      </c>
      <c r="Q233" s="124" t="s">
        <v>250</v>
      </c>
      <c r="R233" s="47" t="s">
        <v>108</v>
      </c>
      <c r="S233" s="38">
        <v>18</v>
      </c>
      <c r="T233" s="124" t="s">
        <v>249</v>
      </c>
      <c r="U233" s="47" t="s">
        <v>103</v>
      </c>
      <c r="V233" s="38"/>
      <c r="W233" s="46"/>
      <c r="X233" s="44"/>
      <c r="Y233" s="43"/>
      <c r="Z233" s="44"/>
      <c r="AA233" s="44"/>
      <c r="AB233" s="44"/>
      <c r="AC233" s="44"/>
      <c r="AD233" s="44"/>
      <c r="AE233" s="44"/>
      <c r="AF233" s="44"/>
      <c r="AG233" s="44"/>
      <c r="AH233" s="37" t="s">
        <v>293</v>
      </c>
      <c r="AI233" s="42" t="s">
        <v>48</v>
      </c>
      <c r="AJ233" s="52" t="s">
        <v>135</v>
      </c>
      <c r="AK233" s="145" t="str">
        <f t="shared" si="86"/>
        <v>Grit G-16H LINGUA ESPANHOLA</v>
      </c>
      <c r="AL233" s="140" t="s">
        <v>291</v>
      </c>
      <c r="AM233" s="141" t="str">
        <f t="shared" si="87"/>
        <v>3 Malhas</v>
      </c>
      <c r="AN233" s="141" t="str">
        <f t="shared" si="88"/>
        <v>Grit 3 Malhas</v>
      </c>
    </row>
    <row r="234" spans="1:40" ht="15.75" x14ac:dyDescent="0.25">
      <c r="A234" s="36" t="s">
        <v>81</v>
      </c>
      <c r="B234" s="37" t="s">
        <v>123</v>
      </c>
      <c r="C234" s="37" t="str">
        <f t="shared" si="85"/>
        <v>Grit G-18H LINGUA ESPANHOLA</v>
      </c>
      <c r="D234" s="37" t="s">
        <v>269</v>
      </c>
      <c r="E234" s="37" t="s">
        <v>271</v>
      </c>
      <c r="F234" s="37" t="s">
        <v>272</v>
      </c>
      <c r="G234" s="37" t="s">
        <v>274</v>
      </c>
      <c r="H234" s="37" t="s">
        <v>276</v>
      </c>
      <c r="I234" s="37" t="s">
        <v>278</v>
      </c>
      <c r="J234" s="37" t="s">
        <v>280</v>
      </c>
      <c r="K234" s="37" t="s">
        <v>239</v>
      </c>
      <c r="L234" s="37" t="s">
        <v>281</v>
      </c>
      <c r="M234" s="38">
        <v>14</v>
      </c>
      <c r="N234" s="124" t="s">
        <v>251</v>
      </c>
      <c r="O234" s="40" t="s">
        <v>156</v>
      </c>
      <c r="P234" s="38">
        <v>18</v>
      </c>
      <c r="Q234" s="124" t="s">
        <v>249</v>
      </c>
      <c r="R234" s="47" t="s">
        <v>108</v>
      </c>
      <c r="S234" s="38">
        <v>25</v>
      </c>
      <c r="T234" s="45" t="s">
        <v>259</v>
      </c>
      <c r="U234" s="47" t="s">
        <v>103</v>
      </c>
      <c r="V234" s="38"/>
      <c r="W234" s="46"/>
      <c r="X234" s="44"/>
      <c r="Y234" s="43"/>
      <c r="Z234" s="44"/>
      <c r="AA234" s="44"/>
      <c r="AB234" s="44"/>
      <c r="AC234" s="44"/>
      <c r="AD234" s="44"/>
      <c r="AE234" s="44"/>
      <c r="AF234" s="44"/>
      <c r="AG234" s="44"/>
      <c r="AH234" s="37" t="s">
        <v>293</v>
      </c>
      <c r="AI234" s="42" t="s">
        <v>48</v>
      </c>
      <c r="AJ234" s="52" t="s">
        <v>135</v>
      </c>
      <c r="AK234" s="145" t="str">
        <f t="shared" si="86"/>
        <v>Grit G-18H LINGUA ESPANHOLA</v>
      </c>
      <c r="AL234" s="140" t="s">
        <v>291</v>
      </c>
      <c r="AM234" s="141" t="str">
        <f t="shared" si="87"/>
        <v>3 Malhas</v>
      </c>
      <c r="AN234" s="141" t="str">
        <f t="shared" si="88"/>
        <v>Grit 3 Malhas</v>
      </c>
    </row>
    <row r="235" spans="1:40" ht="15.75" x14ac:dyDescent="0.25">
      <c r="A235" s="36" t="s">
        <v>82</v>
      </c>
      <c r="B235" s="37" t="s">
        <v>123</v>
      </c>
      <c r="C235" s="37" t="str">
        <f t="shared" si="85"/>
        <v>Gri  G-25H LINGUA ESPANHOLA</v>
      </c>
      <c r="D235" s="37" t="s">
        <v>269</v>
      </c>
      <c r="E235" s="37" t="s">
        <v>271</v>
      </c>
      <c r="F235" s="37" t="s">
        <v>272</v>
      </c>
      <c r="G235" s="37" t="s">
        <v>274</v>
      </c>
      <c r="H235" s="37" t="s">
        <v>276</v>
      </c>
      <c r="I235" s="37" t="s">
        <v>278</v>
      </c>
      <c r="J235" s="37" t="s">
        <v>280</v>
      </c>
      <c r="K235" s="37" t="s">
        <v>239</v>
      </c>
      <c r="L235" s="37" t="s">
        <v>281</v>
      </c>
      <c r="M235" s="38">
        <v>16</v>
      </c>
      <c r="N235" s="124" t="s">
        <v>250</v>
      </c>
      <c r="O235" s="40" t="s">
        <v>156</v>
      </c>
      <c r="P235" s="38">
        <v>25</v>
      </c>
      <c r="Q235" s="45" t="s">
        <v>259</v>
      </c>
      <c r="R235" s="47" t="s">
        <v>109</v>
      </c>
      <c r="S235" s="38">
        <v>40</v>
      </c>
      <c r="T235" s="45" t="s">
        <v>246</v>
      </c>
      <c r="U235" s="47" t="s">
        <v>43</v>
      </c>
      <c r="V235" s="38"/>
      <c r="W235" s="46"/>
      <c r="X235" s="44"/>
      <c r="Y235" s="43"/>
      <c r="Z235" s="44"/>
      <c r="AA235" s="44"/>
      <c r="AB235" s="44"/>
      <c r="AC235" s="44"/>
      <c r="AD235" s="44"/>
      <c r="AE235" s="44"/>
      <c r="AF235" s="44"/>
      <c r="AG235" s="44"/>
      <c r="AH235" s="37" t="s">
        <v>293</v>
      </c>
      <c r="AI235" s="42" t="s">
        <v>48</v>
      </c>
      <c r="AJ235" s="52" t="s">
        <v>135</v>
      </c>
      <c r="AK235" s="145" t="str">
        <f t="shared" si="86"/>
        <v>Gri  G-25H LINGUA ESPANHOLA</v>
      </c>
      <c r="AL235" s="140" t="s">
        <v>291</v>
      </c>
      <c r="AM235" s="141" t="str">
        <f t="shared" si="87"/>
        <v>3 Malhas</v>
      </c>
      <c r="AN235" s="141" t="str">
        <f t="shared" si="88"/>
        <v>Grit 3 Malhas</v>
      </c>
    </row>
    <row r="236" spans="1:40" ht="15.75" x14ac:dyDescent="0.25">
      <c r="A236" s="36" t="s">
        <v>83</v>
      </c>
      <c r="B236" s="37" t="s">
        <v>123</v>
      </c>
      <c r="C236" s="37" t="str">
        <f t="shared" si="85"/>
        <v>Grit G-40H LINGUA ESPANHOLA</v>
      </c>
      <c r="D236" s="37" t="s">
        <v>269</v>
      </c>
      <c r="E236" s="37" t="s">
        <v>271</v>
      </c>
      <c r="F236" s="37" t="s">
        <v>272</v>
      </c>
      <c r="G236" s="37" t="s">
        <v>274</v>
      </c>
      <c r="H236" s="37" t="s">
        <v>276</v>
      </c>
      <c r="I236" s="37" t="s">
        <v>278</v>
      </c>
      <c r="J236" s="37" t="s">
        <v>280</v>
      </c>
      <c r="K236" s="37" t="s">
        <v>239</v>
      </c>
      <c r="L236" s="37" t="s">
        <v>281</v>
      </c>
      <c r="M236" s="38">
        <v>18</v>
      </c>
      <c r="N236" s="124" t="s">
        <v>249</v>
      </c>
      <c r="O236" s="40" t="s">
        <v>156</v>
      </c>
      <c r="P236" s="38">
        <v>40</v>
      </c>
      <c r="Q236" s="45" t="s">
        <v>246</v>
      </c>
      <c r="R236" s="47" t="s">
        <v>110</v>
      </c>
      <c r="S236" s="38">
        <v>50</v>
      </c>
      <c r="T236" s="45" t="s">
        <v>260</v>
      </c>
      <c r="U236" s="47" t="s">
        <v>43</v>
      </c>
      <c r="V236" s="38"/>
      <c r="W236" s="46"/>
      <c r="X236" s="44"/>
      <c r="Y236" s="43"/>
      <c r="Z236" s="44"/>
      <c r="AA236" s="44"/>
      <c r="AB236" s="44"/>
      <c r="AC236" s="44"/>
      <c r="AD236" s="44"/>
      <c r="AE236" s="44"/>
      <c r="AF236" s="44"/>
      <c r="AG236" s="44"/>
      <c r="AH236" s="37" t="s">
        <v>293</v>
      </c>
      <c r="AI236" s="42" t="s">
        <v>48</v>
      </c>
      <c r="AJ236" s="52" t="s">
        <v>135</v>
      </c>
      <c r="AK236" s="145" t="str">
        <f t="shared" si="86"/>
        <v>Grit G-40H LINGUA ESPANHOLA</v>
      </c>
      <c r="AL236" s="140" t="s">
        <v>291</v>
      </c>
      <c r="AM236" s="141" t="str">
        <f t="shared" si="87"/>
        <v>3 Malhas</v>
      </c>
      <c r="AN236" s="141" t="str">
        <f t="shared" si="88"/>
        <v>Grit 3 Malhas</v>
      </c>
    </row>
    <row r="237" spans="1:40" ht="15.75" x14ac:dyDescent="0.25">
      <c r="A237" s="36" t="s">
        <v>84</v>
      </c>
      <c r="B237" s="37" t="s">
        <v>123</v>
      </c>
      <c r="C237" s="37" t="str">
        <f t="shared" si="85"/>
        <v>Grit G-50H LINGUA ESPANHOLA</v>
      </c>
      <c r="D237" s="37" t="s">
        <v>269</v>
      </c>
      <c r="E237" s="37" t="s">
        <v>271</v>
      </c>
      <c r="F237" s="37" t="s">
        <v>272</v>
      </c>
      <c r="G237" s="37" t="s">
        <v>274</v>
      </c>
      <c r="H237" s="37" t="s">
        <v>276</v>
      </c>
      <c r="I237" s="37" t="s">
        <v>278</v>
      </c>
      <c r="J237" s="37" t="s">
        <v>280</v>
      </c>
      <c r="K237" s="37" t="s">
        <v>239</v>
      </c>
      <c r="L237" s="37" t="s">
        <v>281</v>
      </c>
      <c r="M237" s="38">
        <v>25</v>
      </c>
      <c r="N237" s="45" t="s">
        <v>259</v>
      </c>
      <c r="O237" s="40" t="s">
        <v>156</v>
      </c>
      <c r="P237" s="38">
        <v>50</v>
      </c>
      <c r="Q237" s="45" t="s">
        <v>260</v>
      </c>
      <c r="R237" s="47" t="s">
        <v>111</v>
      </c>
      <c r="S237" s="38">
        <v>80</v>
      </c>
      <c r="T237" s="45" t="s">
        <v>261</v>
      </c>
      <c r="U237" s="47" t="s">
        <v>112</v>
      </c>
      <c r="V237" s="38"/>
      <c r="W237" s="46"/>
      <c r="X237" s="44"/>
      <c r="Y237" s="43"/>
      <c r="Z237" s="44"/>
      <c r="AA237" s="44"/>
      <c r="AB237" s="44"/>
      <c r="AC237" s="44"/>
      <c r="AD237" s="44"/>
      <c r="AE237" s="44"/>
      <c r="AF237" s="44"/>
      <c r="AG237" s="44"/>
      <c r="AH237" s="37" t="s">
        <v>293</v>
      </c>
      <c r="AI237" s="42" t="s">
        <v>48</v>
      </c>
      <c r="AJ237" s="52" t="s">
        <v>135</v>
      </c>
      <c r="AK237" s="145" t="str">
        <f t="shared" si="86"/>
        <v>Grit G-50H LINGUA ESPANHOLA</v>
      </c>
      <c r="AL237" s="140" t="s">
        <v>291</v>
      </c>
      <c r="AM237" s="141" t="str">
        <f t="shared" si="87"/>
        <v>3 Malhas</v>
      </c>
      <c r="AN237" s="141" t="str">
        <f t="shared" si="88"/>
        <v>Grit 3 Malhas</v>
      </c>
    </row>
    <row r="238" spans="1:40" ht="15.75" x14ac:dyDescent="0.25">
      <c r="A238" s="36" t="s">
        <v>85</v>
      </c>
      <c r="B238" s="37" t="s">
        <v>123</v>
      </c>
      <c r="C238" s="37" t="str">
        <f t="shared" si="85"/>
        <v>Grit G-80H LINGUA ESPANHOLA</v>
      </c>
      <c r="D238" s="37" t="s">
        <v>269</v>
      </c>
      <c r="E238" s="37" t="s">
        <v>271</v>
      </c>
      <c r="F238" s="37" t="s">
        <v>272</v>
      </c>
      <c r="G238" s="37" t="s">
        <v>274</v>
      </c>
      <c r="H238" s="37" t="s">
        <v>276</v>
      </c>
      <c r="I238" s="37" t="s">
        <v>278</v>
      </c>
      <c r="J238" s="37" t="s">
        <v>280</v>
      </c>
      <c r="K238" s="37" t="s">
        <v>239</v>
      </c>
      <c r="L238" s="37" t="s">
        <v>281</v>
      </c>
      <c r="M238" s="38">
        <v>40</v>
      </c>
      <c r="N238" s="45" t="s">
        <v>246</v>
      </c>
      <c r="O238" s="40" t="s">
        <v>156</v>
      </c>
      <c r="P238" s="38">
        <v>80</v>
      </c>
      <c r="Q238" s="45" t="s">
        <v>261</v>
      </c>
      <c r="R238" s="47" t="s">
        <v>111</v>
      </c>
      <c r="S238" s="38">
        <v>120</v>
      </c>
      <c r="T238" s="45" t="s">
        <v>262</v>
      </c>
      <c r="U238" s="47" t="s">
        <v>112</v>
      </c>
      <c r="V238" s="38"/>
      <c r="W238" s="46"/>
      <c r="X238" s="44"/>
      <c r="Y238" s="43"/>
      <c r="Z238" s="44"/>
      <c r="AA238" s="44"/>
      <c r="AB238" s="44"/>
      <c r="AC238" s="44"/>
      <c r="AD238" s="44"/>
      <c r="AE238" s="44"/>
      <c r="AF238" s="44"/>
      <c r="AG238" s="44"/>
      <c r="AH238" s="37" t="s">
        <v>293</v>
      </c>
      <c r="AI238" s="42" t="s">
        <v>48</v>
      </c>
      <c r="AJ238" s="52" t="s">
        <v>135</v>
      </c>
      <c r="AK238" s="145" t="str">
        <f t="shared" si="86"/>
        <v>Grit G-80H LINGUA ESPANHOLA</v>
      </c>
      <c r="AL238" s="140" t="s">
        <v>291</v>
      </c>
      <c r="AM238" s="141" t="str">
        <f t="shared" si="87"/>
        <v>3 Malhas</v>
      </c>
      <c r="AN238" s="141" t="str">
        <f t="shared" si="88"/>
        <v>Grit 3 Malhas</v>
      </c>
    </row>
    <row r="239" spans="1:40" ht="15.75" x14ac:dyDescent="0.25">
      <c r="A239" s="36" t="s">
        <v>86</v>
      </c>
      <c r="B239" s="37" t="s">
        <v>123</v>
      </c>
      <c r="C239" s="37" t="str">
        <f t="shared" si="85"/>
        <v>Grit G-120H LINGUA ESPANHOLA</v>
      </c>
      <c r="D239" s="37" t="s">
        <v>269</v>
      </c>
      <c r="E239" s="37" t="s">
        <v>271</v>
      </c>
      <c r="F239" s="37" t="s">
        <v>272</v>
      </c>
      <c r="G239" s="37" t="s">
        <v>274</v>
      </c>
      <c r="H239" s="37" t="s">
        <v>276</v>
      </c>
      <c r="I239" s="37" t="s">
        <v>278</v>
      </c>
      <c r="J239" s="37" t="s">
        <v>280</v>
      </c>
      <c r="K239" s="37" t="s">
        <v>239</v>
      </c>
      <c r="L239" s="37" t="s">
        <v>281</v>
      </c>
      <c r="M239" s="38">
        <v>50</v>
      </c>
      <c r="N239" s="45" t="s">
        <v>260</v>
      </c>
      <c r="O239" s="40" t="s">
        <v>156</v>
      </c>
      <c r="P239" s="38">
        <v>120</v>
      </c>
      <c r="Q239" s="45" t="s">
        <v>262</v>
      </c>
      <c r="R239" s="47" t="s">
        <v>113</v>
      </c>
      <c r="S239" s="38">
        <v>200</v>
      </c>
      <c r="T239" s="45" t="s">
        <v>265</v>
      </c>
      <c r="U239" s="47" t="s">
        <v>110</v>
      </c>
      <c r="V239" s="38"/>
      <c r="W239" s="46"/>
      <c r="X239" s="44"/>
      <c r="Y239" s="43"/>
      <c r="Z239" s="44"/>
      <c r="AA239" s="44"/>
      <c r="AB239" s="44"/>
      <c r="AC239" s="44"/>
      <c r="AD239" s="44"/>
      <c r="AE239" s="44"/>
      <c r="AF239" s="44"/>
      <c r="AG239" s="44"/>
      <c r="AH239" s="37" t="s">
        <v>293</v>
      </c>
      <c r="AI239" s="42" t="s">
        <v>48</v>
      </c>
      <c r="AJ239" s="52" t="s">
        <v>135</v>
      </c>
      <c r="AK239" s="145" t="str">
        <f t="shared" si="86"/>
        <v>Grit G-120H LINGUA ESPANHOLA</v>
      </c>
      <c r="AL239" s="140" t="s">
        <v>291</v>
      </c>
      <c r="AM239" s="141" t="str">
        <f t="shared" si="87"/>
        <v>3 Malhas</v>
      </c>
      <c r="AN239" s="141" t="str">
        <f t="shared" si="88"/>
        <v>Grit 3 Malhas</v>
      </c>
    </row>
    <row r="240" spans="1:40" ht="15.75" x14ac:dyDescent="0.25">
      <c r="A240" s="36" t="str">
        <f t="shared" ref="A240:A283" si="89">IF(A52="","",A52)</f>
        <v/>
      </c>
      <c r="B240" s="129" t="s">
        <v>123</v>
      </c>
      <c r="C240" s="37" t="str">
        <f t="shared" ref="C240:C283" si="90">CONCATENATE(A240," ",B240)</f>
        <v xml:space="preserve"> LINGUA ESPANHOLA</v>
      </c>
      <c r="D240" s="129" t="str">
        <f t="shared" ref="D240:D283" si="91">IF(D52=$AU$5,$AU$37,IF(D52=$AV$5,$AV$37,"SEM DADOS"))</f>
        <v>SEM DADOS</v>
      </c>
      <c r="E240" s="37" t="str">
        <f t="shared" ref="E240:E283" si="92">IF(E52=$AU$6,$AU$38,IF(E52=$AV$6,$AV$38,IF(E52=$AW$6,$AW$38,"SEM DADOS")))</f>
        <v>SEM DADOS</v>
      </c>
      <c r="F240" s="37" t="str">
        <f t="shared" ref="F240:F283" si="93">IF(F52=$AV$7,$AV$39,IF(F52=$AW$7,$AW$39,"SEM DADOS"))</f>
        <v>SEM DADOS</v>
      </c>
      <c r="G240" s="37" t="str">
        <f t="shared" ref="G240:G283" si="94">IF(G52=$AU$8,$AU$40,IF(G52=$AV$8,$AV$40,IF(G52=$AW$8,$AW$40,"SEM DADOS")))</f>
        <v>SEM DADOS</v>
      </c>
      <c r="H240" s="37" t="str">
        <f t="shared" ref="H240:H283" si="95">IF(H52=$AU$9,$AU$41,IF(H52=$AV$9,$AV$41,"SEM DADOS"))</f>
        <v>SEM DADOS</v>
      </c>
      <c r="I240" s="37" t="str">
        <f t="shared" ref="I240:I283" si="96">IF(I52=$AU$10,$AU$42,IF(I52=$AV$10,$AV$42,"SEM DADOS"))</f>
        <v>SEM DADOS</v>
      </c>
      <c r="J240" s="37" t="str">
        <f t="shared" ref="J240:J283" si="97">IF(J52=$AU$11,$AU$43,IF(J52=$AV$11,$AV$43,"SEM DADOS"))</f>
        <v>SEM DADOS</v>
      </c>
      <c r="K240" s="37" t="str">
        <f t="shared" ref="K240:K283" si="98">IF(K52=$AU$12,$AU$44,IF(K52=$AV$12,$AV$44,"SEM DADOS"))</f>
        <v>SEM DADOS</v>
      </c>
      <c r="L240" s="37" t="str">
        <f>CONCATENATE("90% de las partículas deben estar entre ", AQ120," y ",AR120, " HRC")</f>
        <v>90% de las partículas deben estar entre  y  HRC</v>
      </c>
      <c r="M240" s="130" t="str">
        <f t="shared" ref="M240:M283" si="99">IFERROR(VLOOKUP(N240,$AY$4:$AZ$26,2,FALSE),"")</f>
        <v/>
      </c>
      <c r="N240" s="131" t="str">
        <f t="shared" ref="N240:N283" si="100">IF(N52="","",N52)</f>
        <v/>
      </c>
      <c r="O240" s="40" t="str">
        <f t="shared" ref="O240:O283" si="101">IF(CONCATENATE(IF(AS124=$AU$14,$AU$46,IF(AS124=$AV$14,$AV$46,"")),AT124,"%")="%","",CONCATENATE(IF(AS124=$AU$14,$AU$46,IF(AS124=$AV$14,$AV$46,"")),AT124,"%"))</f>
        <v/>
      </c>
      <c r="P240" s="130" t="str">
        <f t="shared" ref="P240:P283" si="102">IFERROR(VLOOKUP(Q240,$AY$4:$AZ$26,2,FALSE),"")</f>
        <v/>
      </c>
      <c r="Q240" s="131" t="str">
        <f t="shared" ref="Q240:Q283" si="103">IF(Q52="","",Q52)</f>
        <v/>
      </c>
      <c r="R240" s="40" t="str">
        <f t="shared" ref="R240:R283" si="104">IF(CONCATENATE(IF(AU124=$AU$14,$AU$46,IF(AU124=$AV$14,$AV$46,"")),AV124,"%")="%","",CONCATENATE(IF(AU124=$AU$14,$AU$46,IF(AU124=$AV$14,$AV$46,"")),AV124,"%"))</f>
        <v/>
      </c>
      <c r="S240" s="130" t="str">
        <f t="shared" ref="S240:S283" si="105">IFERROR(VLOOKUP(T240,$AY$4:$AZ$26,2,FALSE),"")</f>
        <v/>
      </c>
      <c r="T240" s="131" t="str">
        <f t="shared" ref="T240:T283" si="106">IF(T52="","",T52)</f>
        <v/>
      </c>
      <c r="U240" s="40" t="str">
        <f t="shared" ref="U240:U283" si="107">IF(CONCATENATE(IF(AW124=$AU$14,$AU$46,IF(AW124=$AV$14,$AV$46,"")),AX124,"%")="%","",CONCATENATE(IF(AW124=$AU$14,$AU$46,IF(AW124=$AV$14,$AV$46,"")),AX124,"%"))</f>
        <v/>
      </c>
      <c r="V240" s="130" t="str">
        <f t="shared" ref="V240:V283" si="108">IFERROR(VLOOKUP(W240,$AY$4:$AZ$26,2,FALSE),"")</f>
        <v/>
      </c>
      <c r="W240" s="131" t="str">
        <f t="shared" ref="W240:W283" si="109">IF(W52="","",W52)</f>
        <v/>
      </c>
      <c r="X240" s="40" t="str">
        <f t="shared" ref="X240:X283" si="110">IF(CONCATENATE(IF(AY124=$AU$14,$AU$46,IF(AY124=$AV$14,$AV$46,"")),AZ124,"%")="%","",CONCATENATE(IF(AY124=$AU$14,$AU$46,IF(AY124=$AV$14,$AV$46,"")),AZ124,"%"))</f>
        <v/>
      </c>
      <c r="Y240" s="130" t="str">
        <f t="shared" ref="Y240:Y283" si="111">IFERROR(VLOOKUP(Z240,$AY$4:$AZ$26,2,FALSE),"")</f>
        <v/>
      </c>
      <c r="Z240" s="131" t="str">
        <f t="shared" ref="Z240:Z283" si="112">IF(Z52="","",Z52)</f>
        <v/>
      </c>
      <c r="AA240" s="40" t="str">
        <f t="shared" ref="AA240:AA283" si="113">IF(CONCATENATE(IF(BA124=$AU$14,$AU$46,IF(BA124=$AV$14,$AV$46,"")),BB124,"%")="%","",CONCATENATE(IF(BA124=$AU$14,$AU$46,IF(BA124=$AV$14,$AV$46,"")),BB124,"%"))</f>
        <v/>
      </c>
      <c r="AB240" s="130" t="str">
        <f t="shared" ref="AB240:AB283" si="114">IFERROR(VLOOKUP(AC240,$AY$4:$AZ$26,2,FALSE),"")</f>
        <v/>
      </c>
      <c r="AC240" s="131" t="str">
        <f t="shared" ref="AC240:AC283" si="115">IF(AC52="","",AC52)</f>
        <v/>
      </c>
      <c r="AD240" s="40" t="str">
        <f t="shared" ref="AD240:AD283" si="116">IF(CONCATENATE(IF(BC124=$AU$14,$AU$46,IF(BC124=$AV$14,$AV$46,"")),BD124,"%")="%","",CONCATENATE(IF(BC124=$AU$14,$AU$46,IF(BC124=$AV$14,$AV$46,"")),BD124,"%"))</f>
        <v/>
      </c>
      <c r="AE240" s="130" t="str">
        <f t="shared" ref="AE240:AE283" si="117">IFERROR(VLOOKUP(AF240,$AY$4:$AZ$26,2,FALSE),"")</f>
        <v/>
      </c>
      <c r="AF240" s="131" t="str">
        <f t="shared" ref="AF240:AF283" si="118">IF(AF52="","",AF52)</f>
        <v/>
      </c>
      <c r="AG240" s="40" t="str">
        <f t="shared" ref="AG240:AG283" si="119">IF(CONCATENATE(IF(BE124=$AU$14,$AU$46,IF(BE124=$AV$14,$AV$46,"")),BF124,"%")="%","",CONCATENATE(IF(BE124=$AU$14,$AU$46,IF(BE124=$AV$14,$AV$46,"")),BF124,"%"))</f>
        <v/>
      </c>
      <c r="AH240" s="37" t="str">
        <f t="shared" ref="AH240:AH283" si="120">IF(CONCATENATE("Mín. ",BG124)="Mín. ","",CONCATENATE("Mín. ",BG124))</f>
        <v/>
      </c>
      <c r="AI240" s="37" t="str">
        <f t="shared" ref="AI240:AI283" si="121">IF(CONCATENATE("Máx. ",BH124,"%")="Máx. %","",CONCATENATE("Máx. ",BH124,"%"))</f>
        <v/>
      </c>
      <c r="AJ240" s="52" t="str">
        <f t="shared" ref="AJ240:AJ283" si="122">IF(AJ52=$AU$13,$AU$45,IF(AJ52=$AV$45,$AV$29,"SEM DADOS"))</f>
        <v>SEM DADOS</v>
      </c>
      <c r="AK240" s="145" t="str">
        <f t="shared" si="86"/>
        <v xml:space="preserve"> LINGUA ESPANHOLA</v>
      </c>
      <c r="AL240" s="159">
        <f t="shared" ref="AL240:AL283" si="123">AL52</f>
        <v>0</v>
      </c>
      <c r="AM240" s="141" t="str">
        <f t="shared" ref="AM240:AM283" si="124">IF(COUNTBLANK(M240:AG240)=15,"2 Malhas",IF(COUNTBLANK(M240:AG240)=12,"3 Malhas",IF(COUNTBLANK(M240:AG240)=9,"4 Malhas",IF(COUNTBLANK(M240:AG240)=6,"5 Malhas",IF(COUNTBLANK(M240:AG240)=3,"6 Malhas",IF(COUNTBLANK(M240:AG240)=0,"7 Malhas","Sem Dados"))))))</f>
        <v>Sem Dados</v>
      </c>
      <c r="AN240" s="141" t="str">
        <f t="shared" si="88"/>
        <v>0 Sem Dados</v>
      </c>
    </row>
    <row r="241" spans="1:40" ht="15.75" x14ac:dyDescent="0.25">
      <c r="A241" s="36" t="str">
        <f t="shared" si="89"/>
        <v/>
      </c>
      <c r="B241" s="129" t="s">
        <v>123</v>
      </c>
      <c r="C241" s="37" t="str">
        <f t="shared" si="90"/>
        <v xml:space="preserve"> LINGUA ESPANHOLA</v>
      </c>
      <c r="D241" s="129" t="str">
        <f t="shared" si="91"/>
        <v>SEM DADOS</v>
      </c>
      <c r="E241" s="37" t="str">
        <f t="shared" si="92"/>
        <v>SEM DADOS</v>
      </c>
      <c r="F241" s="37" t="str">
        <f t="shared" si="93"/>
        <v>SEM DADOS</v>
      </c>
      <c r="G241" s="37" t="str">
        <f t="shared" si="94"/>
        <v>SEM DADOS</v>
      </c>
      <c r="H241" s="37" t="str">
        <f t="shared" si="95"/>
        <v>SEM DADOS</v>
      </c>
      <c r="I241" s="37" t="str">
        <f t="shared" si="96"/>
        <v>SEM DADOS</v>
      </c>
      <c r="J241" s="37" t="str">
        <f t="shared" si="97"/>
        <v>SEM DADOS</v>
      </c>
      <c r="K241" s="37" t="str">
        <f t="shared" si="98"/>
        <v>SEM DADOS</v>
      </c>
      <c r="L241" s="37" t="str">
        <f>CONCATENATE("90% de las partículas deben estar entre ", AQ121," y ",AR121, " HRC")</f>
        <v>90% de las partículas deben estar entre  y  HRC</v>
      </c>
      <c r="M241" s="130" t="str">
        <f t="shared" si="99"/>
        <v/>
      </c>
      <c r="N241" s="131" t="str">
        <f t="shared" si="100"/>
        <v/>
      </c>
      <c r="O241" s="40" t="str">
        <f t="shared" si="101"/>
        <v/>
      </c>
      <c r="P241" s="130" t="str">
        <f t="shared" si="102"/>
        <v/>
      </c>
      <c r="Q241" s="131" t="str">
        <f t="shared" si="103"/>
        <v/>
      </c>
      <c r="R241" s="40" t="str">
        <f t="shared" si="104"/>
        <v/>
      </c>
      <c r="S241" s="130" t="str">
        <f t="shared" si="105"/>
        <v/>
      </c>
      <c r="T241" s="131" t="str">
        <f t="shared" si="106"/>
        <v/>
      </c>
      <c r="U241" s="40" t="str">
        <f t="shared" si="107"/>
        <v/>
      </c>
      <c r="V241" s="130" t="str">
        <f t="shared" si="108"/>
        <v/>
      </c>
      <c r="W241" s="131" t="str">
        <f t="shared" si="109"/>
        <v/>
      </c>
      <c r="X241" s="40" t="str">
        <f t="shared" si="110"/>
        <v/>
      </c>
      <c r="Y241" s="130" t="str">
        <f t="shared" si="111"/>
        <v/>
      </c>
      <c r="Z241" s="131" t="str">
        <f t="shared" si="112"/>
        <v/>
      </c>
      <c r="AA241" s="40" t="str">
        <f t="shared" si="113"/>
        <v/>
      </c>
      <c r="AB241" s="130" t="str">
        <f t="shared" si="114"/>
        <v/>
      </c>
      <c r="AC241" s="131" t="str">
        <f t="shared" si="115"/>
        <v/>
      </c>
      <c r="AD241" s="40" t="str">
        <f t="shared" si="116"/>
        <v/>
      </c>
      <c r="AE241" s="130" t="str">
        <f t="shared" si="117"/>
        <v/>
      </c>
      <c r="AF241" s="131" t="str">
        <f t="shared" si="118"/>
        <v/>
      </c>
      <c r="AG241" s="40" t="str">
        <f t="shared" si="119"/>
        <v/>
      </c>
      <c r="AH241" s="37" t="str">
        <f t="shared" si="120"/>
        <v/>
      </c>
      <c r="AI241" s="37" t="str">
        <f t="shared" si="121"/>
        <v/>
      </c>
      <c r="AJ241" s="52" t="str">
        <f t="shared" si="122"/>
        <v>SEM DADOS</v>
      </c>
      <c r="AK241" s="145" t="str">
        <f t="shared" si="86"/>
        <v xml:space="preserve"> LINGUA ESPANHOLA</v>
      </c>
      <c r="AL241" s="159">
        <f t="shared" si="123"/>
        <v>0</v>
      </c>
      <c r="AM241" s="141" t="str">
        <f t="shared" si="124"/>
        <v>Sem Dados</v>
      </c>
      <c r="AN241" s="141" t="str">
        <f t="shared" si="88"/>
        <v>0 Sem Dados</v>
      </c>
    </row>
    <row r="242" spans="1:40" ht="15.75" x14ac:dyDescent="0.25">
      <c r="A242" s="36" t="str">
        <f t="shared" si="89"/>
        <v/>
      </c>
      <c r="B242" s="129" t="s">
        <v>123</v>
      </c>
      <c r="C242" s="37" t="str">
        <f t="shared" si="90"/>
        <v xml:space="preserve"> LINGUA ESPANHOLA</v>
      </c>
      <c r="D242" s="129" t="str">
        <f t="shared" si="91"/>
        <v>SEM DADOS</v>
      </c>
      <c r="E242" s="37" t="str">
        <f t="shared" si="92"/>
        <v>SEM DADOS</v>
      </c>
      <c r="F242" s="37" t="str">
        <f t="shared" si="93"/>
        <v>SEM DADOS</v>
      </c>
      <c r="G242" s="37" t="str">
        <f t="shared" si="94"/>
        <v>SEM DADOS</v>
      </c>
      <c r="H242" s="37" t="str">
        <f t="shared" si="95"/>
        <v>SEM DADOS</v>
      </c>
      <c r="I242" s="37" t="str">
        <f t="shared" si="96"/>
        <v>SEM DADOS</v>
      </c>
      <c r="J242" s="37" t="str">
        <f t="shared" si="97"/>
        <v>SEM DADOS</v>
      </c>
      <c r="K242" s="37" t="str">
        <f t="shared" si="98"/>
        <v>SEM DADOS</v>
      </c>
      <c r="L242" s="37" t="str">
        <f>CONCATENATE("90% de las partículas deben estar entre ", AQ122," y ",AR122, " HRC")</f>
        <v>90% de las partículas deben estar entre  y  HRC</v>
      </c>
      <c r="M242" s="130" t="str">
        <f t="shared" si="99"/>
        <v/>
      </c>
      <c r="N242" s="131" t="str">
        <f t="shared" si="100"/>
        <v/>
      </c>
      <c r="O242" s="40" t="str">
        <f t="shared" si="101"/>
        <v/>
      </c>
      <c r="P242" s="130" t="str">
        <f t="shared" si="102"/>
        <v/>
      </c>
      <c r="Q242" s="131" t="str">
        <f t="shared" si="103"/>
        <v/>
      </c>
      <c r="R242" s="40" t="str">
        <f t="shared" si="104"/>
        <v/>
      </c>
      <c r="S242" s="130" t="str">
        <f t="shared" si="105"/>
        <v/>
      </c>
      <c r="T242" s="131" t="str">
        <f t="shared" si="106"/>
        <v/>
      </c>
      <c r="U242" s="40" t="str">
        <f t="shared" si="107"/>
        <v/>
      </c>
      <c r="V242" s="130" t="str">
        <f t="shared" si="108"/>
        <v/>
      </c>
      <c r="W242" s="131" t="str">
        <f t="shared" si="109"/>
        <v/>
      </c>
      <c r="X242" s="40" t="str">
        <f t="shared" si="110"/>
        <v/>
      </c>
      <c r="Y242" s="130" t="str">
        <f t="shared" si="111"/>
        <v/>
      </c>
      <c r="Z242" s="131" t="str">
        <f t="shared" si="112"/>
        <v/>
      </c>
      <c r="AA242" s="40" t="str">
        <f t="shared" si="113"/>
        <v/>
      </c>
      <c r="AB242" s="130" t="str">
        <f t="shared" si="114"/>
        <v/>
      </c>
      <c r="AC242" s="131" t="str">
        <f t="shared" si="115"/>
        <v/>
      </c>
      <c r="AD242" s="40" t="str">
        <f t="shared" si="116"/>
        <v/>
      </c>
      <c r="AE242" s="130" t="str">
        <f t="shared" si="117"/>
        <v/>
      </c>
      <c r="AF242" s="131" t="str">
        <f t="shared" si="118"/>
        <v/>
      </c>
      <c r="AG242" s="40" t="str">
        <f t="shared" si="119"/>
        <v/>
      </c>
      <c r="AH242" s="37" t="str">
        <f t="shared" si="120"/>
        <v/>
      </c>
      <c r="AI242" s="37" t="str">
        <f t="shared" si="121"/>
        <v/>
      </c>
      <c r="AJ242" s="52" t="str">
        <f t="shared" si="122"/>
        <v>SEM DADOS</v>
      </c>
      <c r="AK242" s="145" t="str">
        <f t="shared" si="86"/>
        <v xml:space="preserve"> LINGUA ESPANHOLA</v>
      </c>
      <c r="AL242" s="159">
        <f t="shared" si="123"/>
        <v>0</v>
      </c>
      <c r="AM242" s="141" t="str">
        <f t="shared" si="124"/>
        <v>Sem Dados</v>
      </c>
      <c r="AN242" s="141" t="str">
        <f t="shared" si="88"/>
        <v>0 Sem Dados</v>
      </c>
    </row>
    <row r="243" spans="1:40" ht="15.75" x14ac:dyDescent="0.25">
      <c r="A243" s="36" t="str">
        <f t="shared" si="89"/>
        <v/>
      </c>
      <c r="B243" s="129" t="s">
        <v>123</v>
      </c>
      <c r="C243" s="37" t="str">
        <f t="shared" si="90"/>
        <v xml:space="preserve"> LINGUA ESPANHOLA</v>
      </c>
      <c r="D243" s="129" t="str">
        <f t="shared" si="91"/>
        <v>SEM DADOS</v>
      </c>
      <c r="E243" s="37" t="str">
        <f t="shared" si="92"/>
        <v>SEM DADOS</v>
      </c>
      <c r="F243" s="37" t="str">
        <f t="shared" si="93"/>
        <v>SEM DADOS</v>
      </c>
      <c r="G243" s="37" t="str">
        <f t="shared" si="94"/>
        <v>SEM DADOS</v>
      </c>
      <c r="H243" s="37" t="str">
        <f t="shared" si="95"/>
        <v>SEM DADOS</v>
      </c>
      <c r="I243" s="37" t="str">
        <f t="shared" si="96"/>
        <v>SEM DADOS</v>
      </c>
      <c r="J243" s="37" t="str">
        <f t="shared" si="97"/>
        <v>SEM DADOS</v>
      </c>
      <c r="K243" s="37" t="str">
        <f t="shared" si="98"/>
        <v>SEM DADOS</v>
      </c>
      <c r="L243" s="37" t="str">
        <f>CONCATENATE("90% de las partículas deben estar entre ", AQ123," y ",AR123, " HRC")</f>
        <v>90% de las partículas deben estar entre  y  HRC</v>
      </c>
      <c r="M243" s="130" t="str">
        <f t="shared" si="99"/>
        <v/>
      </c>
      <c r="N243" s="131" t="str">
        <f t="shared" si="100"/>
        <v/>
      </c>
      <c r="O243" s="40" t="str">
        <f t="shared" si="101"/>
        <v/>
      </c>
      <c r="P243" s="130" t="str">
        <f t="shared" si="102"/>
        <v/>
      </c>
      <c r="Q243" s="131" t="str">
        <f t="shared" si="103"/>
        <v/>
      </c>
      <c r="R243" s="40" t="str">
        <f t="shared" si="104"/>
        <v/>
      </c>
      <c r="S243" s="130" t="str">
        <f t="shared" si="105"/>
        <v/>
      </c>
      <c r="T243" s="131" t="str">
        <f t="shared" si="106"/>
        <v/>
      </c>
      <c r="U243" s="40" t="str">
        <f t="shared" si="107"/>
        <v/>
      </c>
      <c r="V243" s="130" t="str">
        <f t="shared" si="108"/>
        <v/>
      </c>
      <c r="W243" s="131" t="str">
        <f t="shared" si="109"/>
        <v/>
      </c>
      <c r="X243" s="40" t="str">
        <f t="shared" si="110"/>
        <v/>
      </c>
      <c r="Y243" s="130" t="str">
        <f t="shared" si="111"/>
        <v/>
      </c>
      <c r="Z243" s="131" t="str">
        <f t="shared" si="112"/>
        <v/>
      </c>
      <c r="AA243" s="40" t="str">
        <f t="shared" si="113"/>
        <v/>
      </c>
      <c r="AB243" s="130" t="str">
        <f t="shared" si="114"/>
        <v/>
      </c>
      <c r="AC243" s="131" t="str">
        <f t="shared" si="115"/>
        <v/>
      </c>
      <c r="AD243" s="40" t="str">
        <f t="shared" si="116"/>
        <v/>
      </c>
      <c r="AE243" s="130" t="str">
        <f t="shared" si="117"/>
        <v/>
      </c>
      <c r="AF243" s="131" t="str">
        <f t="shared" si="118"/>
        <v/>
      </c>
      <c r="AG243" s="40" t="str">
        <f t="shared" si="119"/>
        <v/>
      </c>
      <c r="AH243" s="37" t="str">
        <f t="shared" si="120"/>
        <v/>
      </c>
      <c r="AI243" s="37" t="str">
        <f t="shared" si="121"/>
        <v/>
      </c>
      <c r="AJ243" s="52" t="str">
        <f t="shared" si="122"/>
        <v>SEM DADOS</v>
      </c>
      <c r="AK243" s="145" t="str">
        <f t="shared" si="86"/>
        <v xml:space="preserve"> LINGUA ESPANHOLA</v>
      </c>
      <c r="AL243" s="159">
        <f t="shared" si="123"/>
        <v>0</v>
      </c>
      <c r="AM243" s="141" t="str">
        <f t="shared" si="124"/>
        <v>Sem Dados</v>
      </c>
      <c r="AN243" s="141" t="str">
        <f t="shared" si="88"/>
        <v>0 Sem Dados</v>
      </c>
    </row>
    <row r="244" spans="1:40" ht="15.75" x14ac:dyDescent="0.25">
      <c r="A244" s="36" t="str">
        <f t="shared" si="89"/>
        <v/>
      </c>
      <c r="B244" s="129" t="s">
        <v>123</v>
      </c>
      <c r="C244" s="37" t="str">
        <f t="shared" si="90"/>
        <v xml:space="preserve"> LINGUA ESPANHOLA</v>
      </c>
      <c r="D244" s="129" t="str">
        <f t="shared" si="91"/>
        <v>SEM DADOS</v>
      </c>
      <c r="E244" s="37" t="str">
        <f t="shared" si="92"/>
        <v>SEM DADOS</v>
      </c>
      <c r="F244" s="37" t="str">
        <f t="shared" si="93"/>
        <v>SEM DADOS</v>
      </c>
      <c r="G244" s="37" t="str">
        <f t="shared" si="94"/>
        <v>SEM DADOS</v>
      </c>
      <c r="H244" s="37" t="str">
        <f t="shared" si="95"/>
        <v>SEM DADOS</v>
      </c>
      <c r="I244" s="37" t="str">
        <f t="shared" si="96"/>
        <v>SEM DADOS</v>
      </c>
      <c r="J244" s="37" t="str">
        <f t="shared" si="97"/>
        <v>SEM DADOS</v>
      </c>
      <c r="K244" s="37" t="str">
        <f t="shared" si="98"/>
        <v>SEM DADOS</v>
      </c>
      <c r="L244" s="37" t="str">
        <f t="shared" ref="L244:L282" si="125">CONCATENATE("90% de las partículas deben estar entre ", AQ124," y ",AR124, " HRC")</f>
        <v>90% de las partículas deben estar entre  y  HRC</v>
      </c>
      <c r="M244" s="130" t="str">
        <f t="shared" si="99"/>
        <v/>
      </c>
      <c r="N244" s="131" t="str">
        <f t="shared" si="100"/>
        <v/>
      </c>
      <c r="O244" s="40" t="str">
        <f t="shared" si="101"/>
        <v/>
      </c>
      <c r="P244" s="130" t="str">
        <f t="shared" si="102"/>
        <v/>
      </c>
      <c r="Q244" s="131" t="str">
        <f t="shared" si="103"/>
        <v/>
      </c>
      <c r="R244" s="40" t="str">
        <f t="shared" si="104"/>
        <v/>
      </c>
      <c r="S244" s="130" t="str">
        <f t="shared" si="105"/>
        <v/>
      </c>
      <c r="T244" s="131" t="str">
        <f t="shared" si="106"/>
        <v/>
      </c>
      <c r="U244" s="40" t="str">
        <f t="shared" si="107"/>
        <v/>
      </c>
      <c r="V244" s="130" t="str">
        <f t="shared" si="108"/>
        <v/>
      </c>
      <c r="W244" s="131" t="str">
        <f t="shared" si="109"/>
        <v/>
      </c>
      <c r="X244" s="40" t="str">
        <f t="shared" si="110"/>
        <v/>
      </c>
      <c r="Y244" s="130" t="str">
        <f t="shared" si="111"/>
        <v/>
      </c>
      <c r="Z244" s="131" t="str">
        <f t="shared" si="112"/>
        <v/>
      </c>
      <c r="AA244" s="40" t="str">
        <f t="shared" si="113"/>
        <v/>
      </c>
      <c r="AB244" s="130" t="str">
        <f t="shared" si="114"/>
        <v/>
      </c>
      <c r="AC244" s="131" t="str">
        <f t="shared" si="115"/>
        <v/>
      </c>
      <c r="AD244" s="40" t="str">
        <f t="shared" si="116"/>
        <v/>
      </c>
      <c r="AE244" s="130" t="str">
        <f t="shared" si="117"/>
        <v/>
      </c>
      <c r="AF244" s="131" t="str">
        <f t="shared" si="118"/>
        <v/>
      </c>
      <c r="AG244" s="40" t="str">
        <f t="shared" si="119"/>
        <v/>
      </c>
      <c r="AH244" s="37" t="str">
        <f t="shared" si="120"/>
        <v/>
      </c>
      <c r="AI244" s="37" t="str">
        <f t="shared" si="121"/>
        <v/>
      </c>
      <c r="AJ244" s="52" t="str">
        <f t="shared" si="122"/>
        <v>SEM DADOS</v>
      </c>
      <c r="AK244" s="145" t="str">
        <f t="shared" si="86"/>
        <v xml:space="preserve"> LINGUA ESPANHOLA</v>
      </c>
      <c r="AL244" s="159">
        <f t="shared" si="123"/>
        <v>0</v>
      </c>
      <c r="AM244" s="141" t="str">
        <f t="shared" si="124"/>
        <v>Sem Dados</v>
      </c>
      <c r="AN244" s="141" t="str">
        <f t="shared" si="88"/>
        <v>0 Sem Dados</v>
      </c>
    </row>
    <row r="245" spans="1:40" ht="15.75" x14ac:dyDescent="0.25">
      <c r="A245" s="36" t="str">
        <f t="shared" si="89"/>
        <v/>
      </c>
      <c r="B245" s="129" t="s">
        <v>123</v>
      </c>
      <c r="C245" s="37" t="str">
        <f t="shared" si="90"/>
        <v xml:space="preserve"> LINGUA ESPANHOLA</v>
      </c>
      <c r="D245" s="129" t="str">
        <f t="shared" si="91"/>
        <v>SEM DADOS</v>
      </c>
      <c r="E245" s="37" t="str">
        <f t="shared" si="92"/>
        <v>SEM DADOS</v>
      </c>
      <c r="F245" s="37" t="str">
        <f t="shared" si="93"/>
        <v>SEM DADOS</v>
      </c>
      <c r="G245" s="37" t="str">
        <f t="shared" si="94"/>
        <v>SEM DADOS</v>
      </c>
      <c r="H245" s="37" t="str">
        <f t="shared" si="95"/>
        <v>SEM DADOS</v>
      </c>
      <c r="I245" s="37" t="str">
        <f t="shared" si="96"/>
        <v>SEM DADOS</v>
      </c>
      <c r="J245" s="37" t="str">
        <f t="shared" si="97"/>
        <v>SEM DADOS</v>
      </c>
      <c r="K245" s="37" t="str">
        <f t="shared" si="98"/>
        <v>SEM DADOS</v>
      </c>
      <c r="L245" s="37" t="str">
        <f t="shared" si="125"/>
        <v>90% de las partículas deben estar entre  y  HRC</v>
      </c>
      <c r="M245" s="130" t="str">
        <f t="shared" si="99"/>
        <v/>
      </c>
      <c r="N245" s="131" t="str">
        <f t="shared" si="100"/>
        <v/>
      </c>
      <c r="O245" s="40" t="str">
        <f t="shared" si="101"/>
        <v/>
      </c>
      <c r="P245" s="130" t="str">
        <f t="shared" si="102"/>
        <v/>
      </c>
      <c r="Q245" s="131" t="str">
        <f t="shared" si="103"/>
        <v/>
      </c>
      <c r="R245" s="40" t="str">
        <f t="shared" si="104"/>
        <v/>
      </c>
      <c r="S245" s="130" t="str">
        <f t="shared" si="105"/>
        <v/>
      </c>
      <c r="T245" s="131" t="str">
        <f t="shared" si="106"/>
        <v/>
      </c>
      <c r="U245" s="40" t="str">
        <f t="shared" si="107"/>
        <v/>
      </c>
      <c r="V245" s="130" t="str">
        <f t="shared" si="108"/>
        <v/>
      </c>
      <c r="W245" s="131" t="str">
        <f t="shared" si="109"/>
        <v/>
      </c>
      <c r="X245" s="40" t="str">
        <f t="shared" si="110"/>
        <v/>
      </c>
      <c r="Y245" s="130" t="str">
        <f t="shared" si="111"/>
        <v/>
      </c>
      <c r="Z245" s="131" t="str">
        <f t="shared" si="112"/>
        <v/>
      </c>
      <c r="AA245" s="40" t="str">
        <f t="shared" si="113"/>
        <v/>
      </c>
      <c r="AB245" s="130" t="str">
        <f t="shared" si="114"/>
        <v/>
      </c>
      <c r="AC245" s="131" t="str">
        <f t="shared" si="115"/>
        <v/>
      </c>
      <c r="AD245" s="40" t="str">
        <f t="shared" si="116"/>
        <v/>
      </c>
      <c r="AE245" s="130" t="str">
        <f t="shared" si="117"/>
        <v/>
      </c>
      <c r="AF245" s="131" t="str">
        <f t="shared" si="118"/>
        <v/>
      </c>
      <c r="AG245" s="40" t="str">
        <f t="shared" si="119"/>
        <v/>
      </c>
      <c r="AH245" s="37" t="str">
        <f t="shared" si="120"/>
        <v/>
      </c>
      <c r="AI245" s="37" t="str">
        <f t="shared" si="121"/>
        <v/>
      </c>
      <c r="AJ245" s="52" t="str">
        <f t="shared" si="122"/>
        <v>SEM DADOS</v>
      </c>
      <c r="AK245" s="145" t="str">
        <f t="shared" si="86"/>
        <v xml:space="preserve"> LINGUA ESPANHOLA</v>
      </c>
      <c r="AL245" s="159">
        <f t="shared" si="123"/>
        <v>0</v>
      </c>
      <c r="AM245" s="141" t="str">
        <f t="shared" si="124"/>
        <v>Sem Dados</v>
      </c>
      <c r="AN245" s="141" t="str">
        <f t="shared" si="88"/>
        <v>0 Sem Dados</v>
      </c>
    </row>
    <row r="246" spans="1:40" ht="15.75" x14ac:dyDescent="0.25">
      <c r="A246" s="36" t="str">
        <f t="shared" si="89"/>
        <v/>
      </c>
      <c r="B246" s="129" t="s">
        <v>123</v>
      </c>
      <c r="C246" s="37" t="str">
        <f t="shared" si="90"/>
        <v xml:space="preserve"> LINGUA ESPANHOLA</v>
      </c>
      <c r="D246" s="129" t="str">
        <f t="shared" si="91"/>
        <v>SEM DADOS</v>
      </c>
      <c r="E246" s="37" t="str">
        <f t="shared" si="92"/>
        <v>SEM DADOS</v>
      </c>
      <c r="F246" s="37" t="str">
        <f t="shared" si="93"/>
        <v>SEM DADOS</v>
      </c>
      <c r="G246" s="37" t="str">
        <f t="shared" si="94"/>
        <v>SEM DADOS</v>
      </c>
      <c r="H246" s="37" t="str">
        <f t="shared" si="95"/>
        <v>SEM DADOS</v>
      </c>
      <c r="I246" s="37" t="str">
        <f t="shared" si="96"/>
        <v>SEM DADOS</v>
      </c>
      <c r="J246" s="37" t="str">
        <f t="shared" si="97"/>
        <v>SEM DADOS</v>
      </c>
      <c r="K246" s="37" t="str">
        <f t="shared" si="98"/>
        <v>SEM DADOS</v>
      </c>
      <c r="L246" s="37" t="str">
        <f t="shared" si="125"/>
        <v>90% de las partículas deben estar entre  y  HRC</v>
      </c>
      <c r="M246" s="130" t="str">
        <f t="shared" si="99"/>
        <v/>
      </c>
      <c r="N246" s="131" t="str">
        <f t="shared" si="100"/>
        <v/>
      </c>
      <c r="O246" s="40" t="str">
        <f t="shared" si="101"/>
        <v/>
      </c>
      <c r="P246" s="130" t="str">
        <f t="shared" si="102"/>
        <v/>
      </c>
      <c r="Q246" s="131" t="str">
        <f t="shared" si="103"/>
        <v/>
      </c>
      <c r="R246" s="40" t="str">
        <f t="shared" si="104"/>
        <v/>
      </c>
      <c r="S246" s="130" t="str">
        <f t="shared" si="105"/>
        <v/>
      </c>
      <c r="T246" s="131" t="str">
        <f t="shared" si="106"/>
        <v/>
      </c>
      <c r="U246" s="40" t="str">
        <f t="shared" si="107"/>
        <v/>
      </c>
      <c r="V246" s="130" t="str">
        <f t="shared" si="108"/>
        <v/>
      </c>
      <c r="W246" s="131" t="str">
        <f t="shared" si="109"/>
        <v/>
      </c>
      <c r="X246" s="40" t="str">
        <f t="shared" si="110"/>
        <v/>
      </c>
      <c r="Y246" s="130" t="str">
        <f t="shared" si="111"/>
        <v/>
      </c>
      <c r="Z246" s="131" t="str">
        <f t="shared" si="112"/>
        <v/>
      </c>
      <c r="AA246" s="40" t="str">
        <f t="shared" si="113"/>
        <v/>
      </c>
      <c r="AB246" s="130" t="str">
        <f t="shared" si="114"/>
        <v/>
      </c>
      <c r="AC246" s="131" t="str">
        <f t="shared" si="115"/>
        <v/>
      </c>
      <c r="AD246" s="40" t="str">
        <f t="shared" si="116"/>
        <v/>
      </c>
      <c r="AE246" s="130" t="str">
        <f t="shared" si="117"/>
        <v/>
      </c>
      <c r="AF246" s="131" t="str">
        <f t="shared" si="118"/>
        <v/>
      </c>
      <c r="AG246" s="40" t="str">
        <f t="shared" si="119"/>
        <v/>
      </c>
      <c r="AH246" s="37" t="str">
        <f t="shared" si="120"/>
        <v/>
      </c>
      <c r="AI246" s="37" t="str">
        <f t="shared" si="121"/>
        <v/>
      </c>
      <c r="AJ246" s="52" t="str">
        <f t="shared" si="122"/>
        <v>SEM DADOS</v>
      </c>
      <c r="AK246" s="145" t="str">
        <f t="shared" si="86"/>
        <v xml:space="preserve"> LINGUA ESPANHOLA</v>
      </c>
      <c r="AL246" s="159">
        <f t="shared" si="123"/>
        <v>0</v>
      </c>
      <c r="AM246" s="141" t="str">
        <f t="shared" si="124"/>
        <v>Sem Dados</v>
      </c>
      <c r="AN246" s="141" t="str">
        <f t="shared" si="88"/>
        <v>0 Sem Dados</v>
      </c>
    </row>
    <row r="247" spans="1:40" ht="15.75" x14ac:dyDescent="0.25">
      <c r="A247" s="36" t="str">
        <f t="shared" si="89"/>
        <v/>
      </c>
      <c r="B247" s="129" t="s">
        <v>123</v>
      </c>
      <c r="C247" s="37" t="str">
        <f t="shared" si="90"/>
        <v xml:space="preserve"> LINGUA ESPANHOLA</v>
      </c>
      <c r="D247" s="129" t="str">
        <f t="shared" si="91"/>
        <v>SEM DADOS</v>
      </c>
      <c r="E247" s="37" t="str">
        <f t="shared" si="92"/>
        <v>SEM DADOS</v>
      </c>
      <c r="F247" s="37" t="str">
        <f t="shared" si="93"/>
        <v>SEM DADOS</v>
      </c>
      <c r="G247" s="37" t="str">
        <f t="shared" si="94"/>
        <v>SEM DADOS</v>
      </c>
      <c r="H247" s="37" t="str">
        <f t="shared" si="95"/>
        <v>SEM DADOS</v>
      </c>
      <c r="I247" s="37" t="str">
        <f t="shared" si="96"/>
        <v>SEM DADOS</v>
      </c>
      <c r="J247" s="37" t="str">
        <f t="shared" si="97"/>
        <v>SEM DADOS</v>
      </c>
      <c r="K247" s="37" t="str">
        <f t="shared" si="98"/>
        <v>SEM DADOS</v>
      </c>
      <c r="L247" s="37" t="str">
        <f t="shared" si="125"/>
        <v>90% de las partículas deben estar entre  y  HRC</v>
      </c>
      <c r="M247" s="130" t="str">
        <f t="shared" si="99"/>
        <v/>
      </c>
      <c r="N247" s="131" t="str">
        <f t="shared" si="100"/>
        <v/>
      </c>
      <c r="O247" s="40" t="str">
        <f t="shared" si="101"/>
        <v/>
      </c>
      <c r="P247" s="130" t="str">
        <f t="shared" si="102"/>
        <v/>
      </c>
      <c r="Q247" s="131" t="str">
        <f t="shared" si="103"/>
        <v/>
      </c>
      <c r="R247" s="40" t="str">
        <f t="shared" si="104"/>
        <v/>
      </c>
      <c r="S247" s="130" t="str">
        <f t="shared" si="105"/>
        <v/>
      </c>
      <c r="T247" s="131" t="str">
        <f t="shared" si="106"/>
        <v/>
      </c>
      <c r="U247" s="40" t="str">
        <f t="shared" si="107"/>
        <v/>
      </c>
      <c r="V247" s="130" t="str">
        <f t="shared" si="108"/>
        <v/>
      </c>
      <c r="W247" s="131" t="str">
        <f t="shared" si="109"/>
        <v/>
      </c>
      <c r="X247" s="40" t="str">
        <f t="shared" si="110"/>
        <v/>
      </c>
      <c r="Y247" s="130" t="str">
        <f t="shared" si="111"/>
        <v/>
      </c>
      <c r="Z247" s="131" t="str">
        <f t="shared" si="112"/>
        <v/>
      </c>
      <c r="AA247" s="40" t="str">
        <f t="shared" si="113"/>
        <v/>
      </c>
      <c r="AB247" s="130" t="str">
        <f t="shared" si="114"/>
        <v/>
      </c>
      <c r="AC247" s="131" t="str">
        <f t="shared" si="115"/>
        <v/>
      </c>
      <c r="AD247" s="40" t="str">
        <f t="shared" si="116"/>
        <v/>
      </c>
      <c r="AE247" s="130" t="str">
        <f t="shared" si="117"/>
        <v/>
      </c>
      <c r="AF247" s="131" t="str">
        <f t="shared" si="118"/>
        <v/>
      </c>
      <c r="AG247" s="40" t="str">
        <f t="shared" si="119"/>
        <v/>
      </c>
      <c r="AH247" s="37" t="str">
        <f t="shared" si="120"/>
        <v/>
      </c>
      <c r="AI247" s="37" t="str">
        <f t="shared" si="121"/>
        <v/>
      </c>
      <c r="AJ247" s="52" t="str">
        <f t="shared" si="122"/>
        <v>SEM DADOS</v>
      </c>
      <c r="AK247" s="145" t="str">
        <f t="shared" si="86"/>
        <v xml:space="preserve"> LINGUA ESPANHOLA</v>
      </c>
      <c r="AL247" s="159">
        <f t="shared" si="123"/>
        <v>0</v>
      </c>
      <c r="AM247" s="141" t="str">
        <f t="shared" si="124"/>
        <v>Sem Dados</v>
      </c>
      <c r="AN247" s="141" t="str">
        <f t="shared" si="88"/>
        <v>0 Sem Dados</v>
      </c>
    </row>
    <row r="248" spans="1:40" ht="15.75" x14ac:dyDescent="0.25">
      <c r="A248" s="36" t="str">
        <f t="shared" si="89"/>
        <v/>
      </c>
      <c r="B248" s="129" t="s">
        <v>123</v>
      </c>
      <c r="C248" s="37" t="str">
        <f t="shared" si="90"/>
        <v xml:space="preserve"> LINGUA ESPANHOLA</v>
      </c>
      <c r="D248" s="129" t="str">
        <f t="shared" si="91"/>
        <v>SEM DADOS</v>
      </c>
      <c r="E248" s="37" t="str">
        <f t="shared" si="92"/>
        <v>SEM DADOS</v>
      </c>
      <c r="F248" s="37" t="str">
        <f t="shared" si="93"/>
        <v>SEM DADOS</v>
      </c>
      <c r="G248" s="37" t="str">
        <f t="shared" si="94"/>
        <v>SEM DADOS</v>
      </c>
      <c r="H248" s="37" t="str">
        <f t="shared" si="95"/>
        <v>SEM DADOS</v>
      </c>
      <c r="I248" s="37" t="str">
        <f t="shared" si="96"/>
        <v>SEM DADOS</v>
      </c>
      <c r="J248" s="37" t="str">
        <f t="shared" si="97"/>
        <v>SEM DADOS</v>
      </c>
      <c r="K248" s="37" t="str">
        <f t="shared" si="98"/>
        <v>SEM DADOS</v>
      </c>
      <c r="L248" s="37" t="str">
        <f t="shared" si="125"/>
        <v>90% de las partículas deben estar entre  y  HRC</v>
      </c>
      <c r="M248" s="130" t="str">
        <f t="shared" si="99"/>
        <v/>
      </c>
      <c r="N248" s="131" t="str">
        <f t="shared" si="100"/>
        <v/>
      </c>
      <c r="O248" s="40" t="str">
        <f t="shared" si="101"/>
        <v/>
      </c>
      <c r="P248" s="130" t="str">
        <f t="shared" si="102"/>
        <v/>
      </c>
      <c r="Q248" s="131" t="str">
        <f t="shared" si="103"/>
        <v/>
      </c>
      <c r="R248" s="40" t="str">
        <f t="shared" si="104"/>
        <v/>
      </c>
      <c r="S248" s="130" t="str">
        <f t="shared" si="105"/>
        <v/>
      </c>
      <c r="T248" s="131" t="str">
        <f t="shared" si="106"/>
        <v/>
      </c>
      <c r="U248" s="40" t="str">
        <f t="shared" si="107"/>
        <v/>
      </c>
      <c r="V248" s="130" t="str">
        <f t="shared" si="108"/>
        <v/>
      </c>
      <c r="W248" s="131" t="str">
        <f t="shared" si="109"/>
        <v/>
      </c>
      <c r="X248" s="40" t="str">
        <f t="shared" si="110"/>
        <v/>
      </c>
      <c r="Y248" s="130" t="str">
        <f t="shared" si="111"/>
        <v/>
      </c>
      <c r="Z248" s="131" t="str">
        <f t="shared" si="112"/>
        <v/>
      </c>
      <c r="AA248" s="40" t="str">
        <f t="shared" si="113"/>
        <v/>
      </c>
      <c r="AB248" s="130" t="str">
        <f t="shared" si="114"/>
        <v/>
      </c>
      <c r="AC248" s="131" t="str">
        <f t="shared" si="115"/>
        <v/>
      </c>
      <c r="AD248" s="40" t="str">
        <f t="shared" si="116"/>
        <v/>
      </c>
      <c r="AE248" s="130" t="str">
        <f t="shared" si="117"/>
        <v/>
      </c>
      <c r="AF248" s="131" t="str">
        <f t="shared" si="118"/>
        <v/>
      </c>
      <c r="AG248" s="40" t="str">
        <f t="shared" si="119"/>
        <v/>
      </c>
      <c r="AH248" s="37" t="str">
        <f t="shared" si="120"/>
        <v/>
      </c>
      <c r="AI248" s="37" t="str">
        <f t="shared" si="121"/>
        <v/>
      </c>
      <c r="AJ248" s="52" t="str">
        <f t="shared" si="122"/>
        <v>SEM DADOS</v>
      </c>
      <c r="AK248" s="145" t="str">
        <f t="shared" si="86"/>
        <v xml:space="preserve"> LINGUA ESPANHOLA</v>
      </c>
      <c r="AL248" s="159">
        <f t="shared" si="123"/>
        <v>0</v>
      </c>
      <c r="AM248" s="141" t="str">
        <f t="shared" si="124"/>
        <v>Sem Dados</v>
      </c>
      <c r="AN248" s="141" t="str">
        <f t="shared" si="88"/>
        <v>0 Sem Dados</v>
      </c>
    </row>
    <row r="249" spans="1:40" ht="15.75" x14ac:dyDescent="0.25">
      <c r="A249" s="36" t="str">
        <f t="shared" si="89"/>
        <v/>
      </c>
      <c r="B249" s="129" t="s">
        <v>123</v>
      </c>
      <c r="C249" s="37" t="str">
        <f t="shared" si="90"/>
        <v xml:space="preserve"> LINGUA ESPANHOLA</v>
      </c>
      <c r="D249" s="129" t="str">
        <f t="shared" si="91"/>
        <v>SEM DADOS</v>
      </c>
      <c r="E249" s="37" t="str">
        <f t="shared" si="92"/>
        <v>SEM DADOS</v>
      </c>
      <c r="F249" s="37" t="str">
        <f t="shared" si="93"/>
        <v>SEM DADOS</v>
      </c>
      <c r="G249" s="37" t="str">
        <f t="shared" si="94"/>
        <v>SEM DADOS</v>
      </c>
      <c r="H249" s="37" t="str">
        <f t="shared" si="95"/>
        <v>SEM DADOS</v>
      </c>
      <c r="I249" s="37" t="str">
        <f t="shared" si="96"/>
        <v>SEM DADOS</v>
      </c>
      <c r="J249" s="37" t="str">
        <f t="shared" si="97"/>
        <v>SEM DADOS</v>
      </c>
      <c r="K249" s="37" t="str">
        <f t="shared" si="98"/>
        <v>SEM DADOS</v>
      </c>
      <c r="L249" s="37" t="str">
        <f t="shared" si="125"/>
        <v>90% de las partículas deben estar entre  y  HRC</v>
      </c>
      <c r="M249" s="130" t="str">
        <f t="shared" si="99"/>
        <v/>
      </c>
      <c r="N249" s="131" t="str">
        <f t="shared" si="100"/>
        <v/>
      </c>
      <c r="O249" s="40" t="str">
        <f t="shared" si="101"/>
        <v/>
      </c>
      <c r="P249" s="130" t="str">
        <f t="shared" si="102"/>
        <v/>
      </c>
      <c r="Q249" s="131" t="str">
        <f t="shared" si="103"/>
        <v/>
      </c>
      <c r="R249" s="40" t="str">
        <f t="shared" si="104"/>
        <v/>
      </c>
      <c r="S249" s="130" t="str">
        <f t="shared" si="105"/>
        <v/>
      </c>
      <c r="T249" s="131" t="str">
        <f t="shared" si="106"/>
        <v/>
      </c>
      <c r="U249" s="40" t="str">
        <f t="shared" si="107"/>
        <v/>
      </c>
      <c r="V249" s="130" t="str">
        <f t="shared" si="108"/>
        <v/>
      </c>
      <c r="W249" s="131" t="str">
        <f t="shared" si="109"/>
        <v/>
      </c>
      <c r="X249" s="40" t="str">
        <f t="shared" si="110"/>
        <v/>
      </c>
      <c r="Y249" s="130" t="str">
        <f t="shared" si="111"/>
        <v/>
      </c>
      <c r="Z249" s="131" t="str">
        <f t="shared" si="112"/>
        <v/>
      </c>
      <c r="AA249" s="40" t="str">
        <f t="shared" si="113"/>
        <v/>
      </c>
      <c r="AB249" s="130" t="str">
        <f t="shared" si="114"/>
        <v/>
      </c>
      <c r="AC249" s="131" t="str">
        <f t="shared" si="115"/>
        <v/>
      </c>
      <c r="AD249" s="40" t="str">
        <f t="shared" si="116"/>
        <v/>
      </c>
      <c r="AE249" s="130" t="str">
        <f t="shared" si="117"/>
        <v/>
      </c>
      <c r="AF249" s="131" t="str">
        <f t="shared" si="118"/>
        <v/>
      </c>
      <c r="AG249" s="40" t="str">
        <f t="shared" si="119"/>
        <v/>
      </c>
      <c r="AH249" s="37" t="str">
        <f t="shared" si="120"/>
        <v/>
      </c>
      <c r="AI249" s="37" t="str">
        <f t="shared" si="121"/>
        <v/>
      </c>
      <c r="AJ249" s="52" t="str">
        <f t="shared" si="122"/>
        <v>SEM DADOS</v>
      </c>
      <c r="AK249" s="145" t="str">
        <f t="shared" si="86"/>
        <v xml:space="preserve"> LINGUA ESPANHOLA</v>
      </c>
      <c r="AL249" s="159">
        <f t="shared" si="123"/>
        <v>0</v>
      </c>
      <c r="AM249" s="141" t="str">
        <f t="shared" si="124"/>
        <v>Sem Dados</v>
      </c>
      <c r="AN249" s="141" t="str">
        <f t="shared" si="88"/>
        <v>0 Sem Dados</v>
      </c>
    </row>
    <row r="250" spans="1:40" ht="15.75" x14ac:dyDescent="0.25">
      <c r="A250" s="36" t="str">
        <f t="shared" si="89"/>
        <v/>
      </c>
      <c r="B250" s="129" t="s">
        <v>123</v>
      </c>
      <c r="C250" s="37" t="str">
        <f t="shared" si="90"/>
        <v xml:space="preserve"> LINGUA ESPANHOLA</v>
      </c>
      <c r="D250" s="129" t="str">
        <f t="shared" si="91"/>
        <v>SEM DADOS</v>
      </c>
      <c r="E250" s="37" t="str">
        <f t="shared" si="92"/>
        <v>SEM DADOS</v>
      </c>
      <c r="F250" s="37" t="str">
        <f t="shared" si="93"/>
        <v>SEM DADOS</v>
      </c>
      <c r="G250" s="37" t="str">
        <f t="shared" si="94"/>
        <v>SEM DADOS</v>
      </c>
      <c r="H250" s="37" t="str">
        <f t="shared" si="95"/>
        <v>SEM DADOS</v>
      </c>
      <c r="I250" s="37" t="str">
        <f t="shared" si="96"/>
        <v>SEM DADOS</v>
      </c>
      <c r="J250" s="37" t="str">
        <f t="shared" si="97"/>
        <v>SEM DADOS</v>
      </c>
      <c r="K250" s="37" t="str">
        <f t="shared" si="98"/>
        <v>SEM DADOS</v>
      </c>
      <c r="L250" s="37" t="str">
        <f t="shared" si="125"/>
        <v>90% de las partículas deben estar entre  y  HRC</v>
      </c>
      <c r="M250" s="130" t="str">
        <f t="shared" si="99"/>
        <v/>
      </c>
      <c r="N250" s="131" t="str">
        <f t="shared" si="100"/>
        <v/>
      </c>
      <c r="O250" s="40" t="str">
        <f t="shared" si="101"/>
        <v/>
      </c>
      <c r="P250" s="130" t="str">
        <f t="shared" si="102"/>
        <v/>
      </c>
      <c r="Q250" s="131" t="str">
        <f t="shared" si="103"/>
        <v/>
      </c>
      <c r="R250" s="40" t="str">
        <f t="shared" si="104"/>
        <v/>
      </c>
      <c r="S250" s="130" t="str">
        <f t="shared" si="105"/>
        <v/>
      </c>
      <c r="T250" s="131" t="str">
        <f t="shared" si="106"/>
        <v/>
      </c>
      <c r="U250" s="40" t="str">
        <f t="shared" si="107"/>
        <v/>
      </c>
      <c r="V250" s="130" t="str">
        <f t="shared" si="108"/>
        <v/>
      </c>
      <c r="W250" s="131" t="str">
        <f t="shared" si="109"/>
        <v/>
      </c>
      <c r="X250" s="40" t="str">
        <f t="shared" si="110"/>
        <v/>
      </c>
      <c r="Y250" s="130" t="str">
        <f t="shared" si="111"/>
        <v/>
      </c>
      <c r="Z250" s="131" t="str">
        <f t="shared" si="112"/>
        <v/>
      </c>
      <c r="AA250" s="40" t="str">
        <f t="shared" si="113"/>
        <v/>
      </c>
      <c r="AB250" s="130" t="str">
        <f t="shared" si="114"/>
        <v/>
      </c>
      <c r="AC250" s="131" t="str">
        <f t="shared" si="115"/>
        <v/>
      </c>
      <c r="AD250" s="40" t="str">
        <f t="shared" si="116"/>
        <v/>
      </c>
      <c r="AE250" s="130" t="str">
        <f t="shared" si="117"/>
        <v/>
      </c>
      <c r="AF250" s="131" t="str">
        <f t="shared" si="118"/>
        <v/>
      </c>
      <c r="AG250" s="40" t="str">
        <f t="shared" si="119"/>
        <v/>
      </c>
      <c r="AH250" s="37" t="str">
        <f t="shared" si="120"/>
        <v/>
      </c>
      <c r="AI250" s="37" t="str">
        <f t="shared" si="121"/>
        <v/>
      </c>
      <c r="AJ250" s="52" t="str">
        <f t="shared" si="122"/>
        <v>SEM DADOS</v>
      </c>
      <c r="AK250" s="145" t="str">
        <f t="shared" si="86"/>
        <v xml:space="preserve"> LINGUA ESPANHOLA</v>
      </c>
      <c r="AL250" s="159">
        <f t="shared" si="123"/>
        <v>0</v>
      </c>
      <c r="AM250" s="141" t="str">
        <f t="shared" si="124"/>
        <v>Sem Dados</v>
      </c>
      <c r="AN250" s="141" t="str">
        <f t="shared" si="88"/>
        <v>0 Sem Dados</v>
      </c>
    </row>
    <row r="251" spans="1:40" ht="15.75" x14ac:dyDescent="0.25">
      <c r="A251" s="36" t="str">
        <f t="shared" si="89"/>
        <v/>
      </c>
      <c r="B251" s="129" t="s">
        <v>123</v>
      </c>
      <c r="C251" s="37" t="str">
        <f t="shared" si="90"/>
        <v xml:space="preserve"> LINGUA ESPANHOLA</v>
      </c>
      <c r="D251" s="129" t="str">
        <f t="shared" si="91"/>
        <v>SEM DADOS</v>
      </c>
      <c r="E251" s="37" t="str">
        <f t="shared" si="92"/>
        <v>SEM DADOS</v>
      </c>
      <c r="F251" s="37" t="str">
        <f t="shared" si="93"/>
        <v>SEM DADOS</v>
      </c>
      <c r="G251" s="37" t="str">
        <f t="shared" si="94"/>
        <v>SEM DADOS</v>
      </c>
      <c r="H251" s="37" t="str">
        <f t="shared" si="95"/>
        <v>SEM DADOS</v>
      </c>
      <c r="I251" s="37" t="str">
        <f t="shared" si="96"/>
        <v>SEM DADOS</v>
      </c>
      <c r="J251" s="37" t="str">
        <f t="shared" si="97"/>
        <v>SEM DADOS</v>
      </c>
      <c r="K251" s="37" t="str">
        <f t="shared" si="98"/>
        <v>SEM DADOS</v>
      </c>
      <c r="L251" s="37" t="str">
        <f t="shared" si="125"/>
        <v>90% de las partículas deben estar entre  y  HRC</v>
      </c>
      <c r="M251" s="130" t="str">
        <f t="shared" si="99"/>
        <v/>
      </c>
      <c r="N251" s="131" t="str">
        <f t="shared" si="100"/>
        <v/>
      </c>
      <c r="O251" s="40" t="str">
        <f t="shared" si="101"/>
        <v/>
      </c>
      <c r="P251" s="130" t="str">
        <f t="shared" si="102"/>
        <v/>
      </c>
      <c r="Q251" s="131" t="str">
        <f t="shared" si="103"/>
        <v/>
      </c>
      <c r="R251" s="40" t="str">
        <f t="shared" si="104"/>
        <v/>
      </c>
      <c r="S251" s="130" t="str">
        <f t="shared" si="105"/>
        <v/>
      </c>
      <c r="T251" s="131" t="str">
        <f t="shared" si="106"/>
        <v/>
      </c>
      <c r="U251" s="40" t="str">
        <f t="shared" si="107"/>
        <v/>
      </c>
      <c r="V251" s="130" t="str">
        <f t="shared" si="108"/>
        <v/>
      </c>
      <c r="W251" s="131" t="str">
        <f t="shared" si="109"/>
        <v/>
      </c>
      <c r="X251" s="40" t="str">
        <f t="shared" si="110"/>
        <v/>
      </c>
      <c r="Y251" s="130" t="str">
        <f t="shared" si="111"/>
        <v/>
      </c>
      <c r="Z251" s="131" t="str">
        <f t="shared" si="112"/>
        <v/>
      </c>
      <c r="AA251" s="40" t="str">
        <f t="shared" si="113"/>
        <v/>
      </c>
      <c r="AB251" s="130" t="str">
        <f t="shared" si="114"/>
        <v/>
      </c>
      <c r="AC251" s="131" t="str">
        <f t="shared" si="115"/>
        <v/>
      </c>
      <c r="AD251" s="40" t="str">
        <f t="shared" si="116"/>
        <v/>
      </c>
      <c r="AE251" s="130" t="str">
        <f t="shared" si="117"/>
        <v/>
      </c>
      <c r="AF251" s="131" t="str">
        <f t="shared" si="118"/>
        <v/>
      </c>
      <c r="AG251" s="40" t="str">
        <f t="shared" si="119"/>
        <v/>
      </c>
      <c r="AH251" s="37" t="str">
        <f t="shared" si="120"/>
        <v/>
      </c>
      <c r="AI251" s="37" t="str">
        <f t="shared" si="121"/>
        <v/>
      </c>
      <c r="AJ251" s="52" t="str">
        <f t="shared" si="122"/>
        <v>SEM DADOS</v>
      </c>
      <c r="AK251" s="145" t="str">
        <f t="shared" si="86"/>
        <v xml:space="preserve"> LINGUA ESPANHOLA</v>
      </c>
      <c r="AL251" s="159">
        <f t="shared" si="123"/>
        <v>0</v>
      </c>
      <c r="AM251" s="141" t="str">
        <f t="shared" si="124"/>
        <v>Sem Dados</v>
      </c>
      <c r="AN251" s="141" t="str">
        <f t="shared" si="88"/>
        <v>0 Sem Dados</v>
      </c>
    </row>
    <row r="252" spans="1:40" ht="15.75" x14ac:dyDescent="0.25">
      <c r="A252" s="36" t="str">
        <f t="shared" si="89"/>
        <v/>
      </c>
      <c r="B252" s="129" t="s">
        <v>123</v>
      </c>
      <c r="C252" s="37" t="str">
        <f t="shared" si="90"/>
        <v xml:space="preserve"> LINGUA ESPANHOLA</v>
      </c>
      <c r="D252" s="129" t="str">
        <f t="shared" si="91"/>
        <v>SEM DADOS</v>
      </c>
      <c r="E252" s="37" t="str">
        <f t="shared" si="92"/>
        <v>SEM DADOS</v>
      </c>
      <c r="F252" s="37" t="str">
        <f t="shared" si="93"/>
        <v>SEM DADOS</v>
      </c>
      <c r="G252" s="37" t="str">
        <f t="shared" si="94"/>
        <v>SEM DADOS</v>
      </c>
      <c r="H252" s="37" t="str">
        <f t="shared" si="95"/>
        <v>SEM DADOS</v>
      </c>
      <c r="I252" s="37" t="str">
        <f t="shared" si="96"/>
        <v>SEM DADOS</v>
      </c>
      <c r="J252" s="37" t="str">
        <f t="shared" si="97"/>
        <v>SEM DADOS</v>
      </c>
      <c r="K252" s="37" t="str">
        <f t="shared" si="98"/>
        <v>SEM DADOS</v>
      </c>
      <c r="L252" s="37" t="str">
        <f t="shared" si="125"/>
        <v>90% de las partículas deben estar entre  y  HRC</v>
      </c>
      <c r="M252" s="130" t="str">
        <f t="shared" si="99"/>
        <v/>
      </c>
      <c r="N252" s="131" t="str">
        <f t="shared" si="100"/>
        <v/>
      </c>
      <c r="O252" s="40" t="str">
        <f t="shared" si="101"/>
        <v/>
      </c>
      <c r="P252" s="130" t="str">
        <f t="shared" si="102"/>
        <v/>
      </c>
      <c r="Q252" s="131" t="str">
        <f t="shared" si="103"/>
        <v/>
      </c>
      <c r="R252" s="40" t="str">
        <f t="shared" si="104"/>
        <v/>
      </c>
      <c r="S252" s="130" t="str">
        <f t="shared" si="105"/>
        <v/>
      </c>
      <c r="T252" s="131" t="str">
        <f t="shared" si="106"/>
        <v/>
      </c>
      <c r="U252" s="40" t="str">
        <f t="shared" si="107"/>
        <v/>
      </c>
      <c r="V252" s="130" t="str">
        <f t="shared" si="108"/>
        <v/>
      </c>
      <c r="W252" s="131" t="str">
        <f t="shared" si="109"/>
        <v/>
      </c>
      <c r="X252" s="40" t="str">
        <f t="shared" si="110"/>
        <v/>
      </c>
      <c r="Y252" s="130" t="str">
        <f t="shared" si="111"/>
        <v/>
      </c>
      <c r="Z252" s="131" t="str">
        <f t="shared" si="112"/>
        <v/>
      </c>
      <c r="AA252" s="40" t="str">
        <f t="shared" si="113"/>
        <v/>
      </c>
      <c r="AB252" s="130" t="str">
        <f t="shared" si="114"/>
        <v/>
      </c>
      <c r="AC252" s="131" t="str">
        <f t="shared" si="115"/>
        <v/>
      </c>
      <c r="AD252" s="40" t="str">
        <f t="shared" si="116"/>
        <v/>
      </c>
      <c r="AE252" s="130" t="str">
        <f t="shared" si="117"/>
        <v/>
      </c>
      <c r="AF252" s="131" t="str">
        <f t="shared" si="118"/>
        <v/>
      </c>
      <c r="AG252" s="40" t="str">
        <f t="shared" si="119"/>
        <v/>
      </c>
      <c r="AH252" s="37" t="str">
        <f t="shared" si="120"/>
        <v/>
      </c>
      <c r="AI252" s="37" t="str">
        <f t="shared" si="121"/>
        <v/>
      </c>
      <c r="AJ252" s="52" t="str">
        <f t="shared" si="122"/>
        <v>SEM DADOS</v>
      </c>
      <c r="AK252" s="145" t="str">
        <f t="shared" si="86"/>
        <v xml:space="preserve"> LINGUA ESPANHOLA</v>
      </c>
      <c r="AL252" s="159">
        <f t="shared" si="123"/>
        <v>0</v>
      </c>
      <c r="AM252" s="141" t="str">
        <f t="shared" si="124"/>
        <v>Sem Dados</v>
      </c>
      <c r="AN252" s="141" t="str">
        <f t="shared" si="88"/>
        <v>0 Sem Dados</v>
      </c>
    </row>
    <row r="253" spans="1:40" ht="15.75" x14ac:dyDescent="0.25">
      <c r="A253" s="36" t="str">
        <f t="shared" si="89"/>
        <v/>
      </c>
      <c r="B253" s="129" t="s">
        <v>123</v>
      </c>
      <c r="C253" s="37" t="str">
        <f t="shared" si="90"/>
        <v xml:space="preserve"> LINGUA ESPANHOLA</v>
      </c>
      <c r="D253" s="129" t="str">
        <f t="shared" si="91"/>
        <v>SEM DADOS</v>
      </c>
      <c r="E253" s="37" t="str">
        <f t="shared" si="92"/>
        <v>SEM DADOS</v>
      </c>
      <c r="F253" s="37" t="str">
        <f t="shared" si="93"/>
        <v>SEM DADOS</v>
      </c>
      <c r="G253" s="37" t="str">
        <f t="shared" si="94"/>
        <v>SEM DADOS</v>
      </c>
      <c r="H253" s="37" t="str">
        <f t="shared" si="95"/>
        <v>SEM DADOS</v>
      </c>
      <c r="I253" s="37" t="str">
        <f t="shared" si="96"/>
        <v>SEM DADOS</v>
      </c>
      <c r="J253" s="37" t="str">
        <f t="shared" si="97"/>
        <v>SEM DADOS</v>
      </c>
      <c r="K253" s="37" t="str">
        <f t="shared" si="98"/>
        <v>SEM DADOS</v>
      </c>
      <c r="L253" s="37" t="str">
        <f t="shared" si="125"/>
        <v>90% de las partículas deben estar entre  y  HRC</v>
      </c>
      <c r="M253" s="130" t="str">
        <f t="shared" si="99"/>
        <v/>
      </c>
      <c r="N253" s="131" t="str">
        <f t="shared" si="100"/>
        <v/>
      </c>
      <c r="O253" s="40" t="str">
        <f t="shared" si="101"/>
        <v/>
      </c>
      <c r="P253" s="130" t="str">
        <f t="shared" si="102"/>
        <v/>
      </c>
      <c r="Q253" s="131" t="str">
        <f t="shared" si="103"/>
        <v/>
      </c>
      <c r="R253" s="40" t="str">
        <f t="shared" si="104"/>
        <v/>
      </c>
      <c r="S253" s="130" t="str">
        <f t="shared" si="105"/>
        <v/>
      </c>
      <c r="T253" s="131" t="str">
        <f t="shared" si="106"/>
        <v/>
      </c>
      <c r="U253" s="40" t="str">
        <f t="shared" si="107"/>
        <v/>
      </c>
      <c r="V253" s="130" t="str">
        <f t="shared" si="108"/>
        <v/>
      </c>
      <c r="W253" s="131" t="str">
        <f t="shared" si="109"/>
        <v/>
      </c>
      <c r="X253" s="40" t="str">
        <f t="shared" si="110"/>
        <v/>
      </c>
      <c r="Y253" s="130" t="str">
        <f t="shared" si="111"/>
        <v/>
      </c>
      <c r="Z253" s="131" t="str">
        <f t="shared" si="112"/>
        <v/>
      </c>
      <c r="AA253" s="40" t="str">
        <f t="shared" si="113"/>
        <v/>
      </c>
      <c r="AB253" s="130" t="str">
        <f t="shared" si="114"/>
        <v/>
      </c>
      <c r="AC253" s="131" t="str">
        <f t="shared" si="115"/>
        <v/>
      </c>
      <c r="AD253" s="40" t="str">
        <f t="shared" si="116"/>
        <v/>
      </c>
      <c r="AE253" s="130" t="str">
        <f t="shared" si="117"/>
        <v/>
      </c>
      <c r="AF253" s="131" t="str">
        <f t="shared" si="118"/>
        <v/>
      </c>
      <c r="AG253" s="40" t="str">
        <f t="shared" si="119"/>
        <v/>
      </c>
      <c r="AH253" s="37" t="str">
        <f t="shared" si="120"/>
        <v/>
      </c>
      <c r="AI253" s="37" t="str">
        <f t="shared" si="121"/>
        <v/>
      </c>
      <c r="AJ253" s="52" t="str">
        <f t="shared" si="122"/>
        <v>SEM DADOS</v>
      </c>
      <c r="AK253" s="145" t="str">
        <f t="shared" si="86"/>
        <v xml:space="preserve"> LINGUA ESPANHOLA</v>
      </c>
      <c r="AL253" s="159">
        <f t="shared" si="123"/>
        <v>0</v>
      </c>
      <c r="AM253" s="141" t="str">
        <f t="shared" si="124"/>
        <v>Sem Dados</v>
      </c>
      <c r="AN253" s="141" t="str">
        <f t="shared" si="88"/>
        <v>0 Sem Dados</v>
      </c>
    </row>
    <row r="254" spans="1:40" ht="15.75" x14ac:dyDescent="0.25">
      <c r="A254" s="36" t="str">
        <f t="shared" si="89"/>
        <v/>
      </c>
      <c r="B254" s="129" t="s">
        <v>123</v>
      </c>
      <c r="C254" s="37" t="str">
        <f t="shared" si="90"/>
        <v xml:space="preserve"> LINGUA ESPANHOLA</v>
      </c>
      <c r="D254" s="129" t="str">
        <f t="shared" si="91"/>
        <v>SEM DADOS</v>
      </c>
      <c r="E254" s="37" t="str">
        <f t="shared" si="92"/>
        <v>SEM DADOS</v>
      </c>
      <c r="F254" s="37" t="str">
        <f t="shared" si="93"/>
        <v>SEM DADOS</v>
      </c>
      <c r="G254" s="37" t="str">
        <f t="shared" si="94"/>
        <v>SEM DADOS</v>
      </c>
      <c r="H254" s="37" t="str">
        <f t="shared" si="95"/>
        <v>SEM DADOS</v>
      </c>
      <c r="I254" s="37" t="str">
        <f t="shared" si="96"/>
        <v>SEM DADOS</v>
      </c>
      <c r="J254" s="37" t="str">
        <f t="shared" si="97"/>
        <v>SEM DADOS</v>
      </c>
      <c r="K254" s="37" t="str">
        <f t="shared" si="98"/>
        <v>SEM DADOS</v>
      </c>
      <c r="L254" s="37" t="str">
        <f t="shared" si="125"/>
        <v>90% de las partículas deben estar entre  y  HRC</v>
      </c>
      <c r="M254" s="130" t="str">
        <f t="shared" si="99"/>
        <v/>
      </c>
      <c r="N254" s="131" t="str">
        <f t="shared" si="100"/>
        <v/>
      </c>
      <c r="O254" s="40" t="str">
        <f t="shared" si="101"/>
        <v/>
      </c>
      <c r="P254" s="130" t="str">
        <f t="shared" si="102"/>
        <v/>
      </c>
      <c r="Q254" s="131" t="str">
        <f t="shared" si="103"/>
        <v/>
      </c>
      <c r="R254" s="40" t="str">
        <f t="shared" si="104"/>
        <v/>
      </c>
      <c r="S254" s="130" t="str">
        <f t="shared" si="105"/>
        <v/>
      </c>
      <c r="T254" s="131" t="str">
        <f t="shared" si="106"/>
        <v/>
      </c>
      <c r="U254" s="40" t="str">
        <f t="shared" si="107"/>
        <v/>
      </c>
      <c r="V254" s="130" t="str">
        <f t="shared" si="108"/>
        <v/>
      </c>
      <c r="W254" s="131" t="str">
        <f t="shared" si="109"/>
        <v/>
      </c>
      <c r="X254" s="40" t="str">
        <f t="shared" si="110"/>
        <v/>
      </c>
      <c r="Y254" s="130" t="str">
        <f t="shared" si="111"/>
        <v/>
      </c>
      <c r="Z254" s="131" t="str">
        <f t="shared" si="112"/>
        <v/>
      </c>
      <c r="AA254" s="40" t="str">
        <f t="shared" si="113"/>
        <v/>
      </c>
      <c r="AB254" s="130" t="str">
        <f t="shared" si="114"/>
        <v/>
      </c>
      <c r="AC254" s="131" t="str">
        <f t="shared" si="115"/>
        <v/>
      </c>
      <c r="AD254" s="40" t="str">
        <f t="shared" si="116"/>
        <v/>
      </c>
      <c r="AE254" s="130" t="str">
        <f t="shared" si="117"/>
        <v/>
      </c>
      <c r="AF254" s="131" t="str">
        <f t="shared" si="118"/>
        <v/>
      </c>
      <c r="AG254" s="40" t="str">
        <f t="shared" si="119"/>
        <v/>
      </c>
      <c r="AH254" s="37" t="str">
        <f t="shared" si="120"/>
        <v/>
      </c>
      <c r="AI254" s="37" t="str">
        <f t="shared" si="121"/>
        <v/>
      </c>
      <c r="AJ254" s="52" t="str">
        <f t="shared" si="122"/>
        <v>SEM DADOS</v>
      </c>
      <c r="AK254" s="145" t="str">
        <f t="shared" ref="AK254:AK283" si="126">C254</f>
        <v xml:space="preserve"> LINGUA ESPANHOLA</v>
      </c>
      <c r="AL254" s="159">
        <f t="shared" si="123"/>
        <v>0</v>
      </c>
      <c r="AM254" s="141" t="str">
        <f t="shared" si="124"/>
        <v>Sem Dados</v>
      </c>
      <c r="AN254" s="141" t="str">
        <f t="shared" ref="AN254:AN283" si="127">CONCATENATE(AL254," ",AM254)</f>
        <v>0 Sem Dados</v>
      </c>
    </row>
    <row r="255" spans="1:40" ht="15.75" x14ac:dyDescent="0.25">
      <c r="A255" s="36" t="str">
        <f t="shared" si="89"/>
        <v/>
      </c>
      <c r="B255" s="129" t="s">
        <v>123</v>
      </c>
      <c r="C255" s="37" t="str">
        <f t="shared" si="90"/>
        <v xml:space="preserve"> LINGUA ESPANHOLA</v>
      </c>
      <c r="D255" s="129" t="str">
        <f t="shared" si="91"/>
        <v>SEM DADOS</v>
      </c>
      <c r="E255" s="37" t="str">
        <f t="shared" si="92"/>
        <v>SEM DADOS</v>
      </c>
      <c r="F255" s="37" t="str">
        <f t="shared" si="93"/>
        <v>SEM DADOS</v>
      </c>
      <c r="G255" s="37" t="str">
        <f t="shared" si="94"/>
        <v>SEM DADOS</v>
      </c>
      <c r="H255" s="37" t="str">
        <f t="shared" si="95"/>
        <v>SEM DADOS</v>
      </c>
      <c r="I255" s="37" t="str">
        <f t="shared" si="96"/>
        <v>SEM DADOS</v>
      </c>
      <c r="J255" s="37" t="str">
        <f t="shared" si="97"/>
        <v>SEM DADOS</v>
      </c>
      <c r="K255" s="37" t="str">
        <f t="shared" si="98"/>
        <v>SEM DADOS</v>
      </c>
      <c r="L255" s="37" t="str">
        <f t="shared" si="125"/>
        <v>90% de las partículas deben estar entre  y  HRC</v>
      </c>
      <c r="M255" s="130" t="str">
        <f t="shared" si="99"/>
        <v/>
      </c>
      <c r="N255" s="131" t="str">
        <f t="shared" si="100"/>
        <v/>
      </c>
      <c r="O255" s="40" t="str">
        <f t="shared" si="101"/>
        <v/>
      </c>
      <c r="P255" s="130" t="str">
        <f t="shared" si="102"/>
        <v/>
      </c>
      <c r="Q255" s="131" t="str">
        <f t="shared" si="103"/>
        <v/>
      </c>
      <c r="R255" s="40" t="str">
        <f t="shared" si="104"/>
        <v/>
      </c>
      <c r="S255" s="130" t="str">
        <f t="shared" si="105"/>
        <v/>
      </c>
      <c r="T255" s="131" t="str">
        <f t="shared" si="106"/>
        <v/>
      </c>
      <c r="U255" s="40" t="str">
        <f t="shared" si="107"/>
        <v/>
      </c>
      <c r="V255" s="130" t="str">
        <f t="shared" si="108"/>
        <v/>
      </c>
      <c r="W255" s="131" t="str">
        <f t="shared" si="109"/>
        <v/>
      </c>
      <c r="X255" s="40" t="str">
        <f t="shared" si="110"/>
        <v/>
      </c>
      <c r="Y255" s="130" t="str">
        <f t="shared" si="111"/>
        <v/>
      </c>
      <c r="Z255" s="131" t="str">
        <f t="shared" si="112"/>
        <v/>
      </c>
      <c r="AA255" s="40" t="str">
        <f t="shared" si="113"/>
        <v/>
      </c>
      <c r="AB255" s="130" t="str">
        <f t="shared" si="114"/>
        <v/>
      </c>
      <c r="AC255" s="131" t="str">
        <f t="shared" si="115"/>
        <v/>
      </c>
      <c r="AD255" s="40" t="str">
        <f t="shared" si="116"/>
        <v/>
      </c>
      <c r="AE255" s="130" t="str">
        <f t="shared" si="117"/>
        <v/>
      </c>
      <c r="AF255" s="131" t="str">
        <f t="shared" si="118"/>
        <v/>
      </c>
      <c r="AG255" s="40" t="str">
        <f t="shared" si="119"/>
        <v/>
      </c>
      <c r="AH255" s="37" t="str">
        <f t="shared" si="120"/>
        <v/>
      </c>
      <c r="AI255" s="37" t="str">
        <f t="shared" si="121"/>
        <v/>
      </c>
      <c r="AJ255" s="52" t="str">
        <f t="shared" si="122"/>
        <v>SEM DADOS</v>
      </c>
      <c r="AK255" s="145" t="str">
        <f t="shared" si="126"/>
        <v xml:space="preserve"> LINGUA ESPANHOLA</v>
      </c>
      <c r="AL255" s="159">
        <f t="shared" si="123"/>
        <v>0</v>
      </c>
      <c r="AM255" s="141" t="str">
        <f t="shared" si="124"/>
        <v>Sem Dados</v>
      </c>
      <c r="AN255" s="141" t="str">
        <f t="shared" si="127"/>
        <v>0 Sem Dados</v>
      </c>
    </row>
    <row r="256" spans="1:40" ht="15.75" x14ac:dyDescent="0.25">
      <c r="A256" s="36" t="str">
        <f t="shared" si="89"/>
        <v/>
      </c>
      <c r="B256" s="129" t="s">
        <v>123</v>
      </c>
      <c r="C256" s="37" t="str">
        <f t="shared" si="90"/>
        <v xml:space="preserve"> LINGUA ESPANHOLA</v>
      </c>
      <c r="D256" s="129" t="str">
        <f t="shared" si="91"/>
        <v>SEM DADOS</v>
      </c>
      <c r="E256" s="37" t="str">
        <f t="shared" si="92"/>
        <v>SEM DADOS</v>
      </c>
      <c r="F256" s="37" t="str">
        <f t="shared" si="93"/>
        <v>SEM DADOS</v>
      </c>
      <c r="G256" s="37" t="str">
        <f t="shared" si="94"/>
        <v>SEM DADOS</v>
      </c>
      <c r="H256" s="37" t="str">
        <f t="shared" si="95"/>
        <v>SEM DADOS</v>
      </c>
      <c r="I256" s="37" t="str">
        <f t="shared" si="96"/>
        <v>SEM DADOS</v>
      </c>
      <c r="J256" s="37" t="str">
        <f t="shared" si="97"/>
        <v>SEM DADOS</v>
      </c>
      <c r="K256" s="37" t="str">
        <f t="shared" si="98"/>
        <v>SEM DADOS</v>
      </c>
      <c r="L256" s="37" t="str">
        <f t="shared" si="125"/>
        <v>90% de las partículas deben estar entre  y  HRC</v>
      </c>
      <c r="M256" s="130" t="str">
        <f t="shared" si="99"/>
        <v/>
      </c>
      <c r="N256" s="131" t="str">
        <f t="shared" si="100"/>
        <v/>
      </c>
      <c r="O256" s="40" t="str">
        <f t="shared" si="101"/>
        <v/>
      </c>
      <c r="P256" s="130" t="str">
        <f t="shared" si="102"/>
        <v/>
      </c>
      <c r="Q256" s="131" t="str">
        <f t="shared" si="103"/>
        <v/>
      </c>
      <c r="R256" s="40" t="str">
        <f t="shared" si="104"/>
        <v/>
      </c>
      <c r="S256" s="130" t="str">
        <f t="shared" si="105"/>
        <v/>
      </c>
      <c r="T256" s="131" t="str">
        <f t="shared" si="106"/>
        <v/>
      </c>
      <c r="U256" s="40" t="str">
        <f t="shared" si="107"/>
        <v/>
      </c>
      <c r="V256" s="130" t="str">
        <f t="shared" si="108"/>
        <v/>
      </c>
      <c r="W256" s="131" t="str">
        <f t="shared" si="109"/>
        <v/>
      </c>
      <c r="X256" s="40" t="str">
        <f t="shared" si="110"/>
        <v/>
      </c>
      <c r="Y256" s="130" t="str">
        <f t="shared" si="111"/>
        <v/>
      </c>
      <c r="Z256" s="131" t="str">
        <f t="shared" si="112"/>
        <v/>
      </c>
      <c r="AA256" s="40" t="str">
        <f t="shared" si="113"/>
        <v/>
      </c>
      <c r="AB256" s="130" t="str">
        <f t="shared" si="114"/>
        <v/>
      </c>
      <c r="AC256" s="131" t="str">
        <f t="shared" si="115"/>
        <v/>
      </c>
      <c r="AD256" s="40" t="str">
        <f t="shared" si="116"/>
        <v/>
      </c>
      <c r="AE256" s="130" t="str">
        <f t="shared" si="117"/>
        <v/>
      </c>
      <c r="AF256" s="131" t="str">
        <f t="shared" si="118"/>
        <v/>
      </c>
      <c r="AG256" s="40" t="str">
        <f t="shared" si="119"/>
        <v/>
      </c>
      <c r="AH256" s="37" t="str">
        <f t="shared" si="120"/>
        <v/>
      </c>
      <c r="AI256" s="37" t="str">
        <f t="shared" si="121"/>
        <v/>
      </c>
      <c r="AJ256" s="52" t="str">
        <f t="shared" si="122"/>
        <v>SEM DADOS</v>
      </c>
      <c r="AK256" s="145" t="str">
        <f t="shared" si="126"/>
        <v xml:space="preserve"> LINGUA ESPANHOLA</v>
      </c>
      <c r="AL256" s="159">
        <f t="shared" si="123"/>
        <v>0</v>
      </c>
      <c r="AM256" s="141" t="str">
        <f t="shared" si="124"/>
        <v>Sem Dados</v>
      </c>
      <c r="AN256" s="141" t="str">
        <f t="shared" si="127"/>
        <v>0 Sem Dados</v>
      </c>
    </row>
    <row r="257" spans="1:40" ht="15.75" x14ac:dyDescent="0.25">
      <c r="A257" s="36" t="str">
        <f t="shared" si="89"/>
        <v/>
      </c>
      <c r="B257" s="129" t="s">
        <v>123</v>
      </c>
      <c r="C257" s="37" t="str">
        <f t="shared" si="90"/>
        <v xml:space="preserve"> LINGUA ESPANHOLA</v>
      </c>
      <c r="D257" s="129" t="str">
        <f t="shared" si="91"/>
        <v>SEM DADOS</v>
      </c>
      <c r="E257" s="37" t="str">
        <f t="shared" si="92"/>
        <v>SEM DADOS</v>
      </c>
      <c r="F257" s="37" t="str">
        <f t="shared" si="93"/>
        <v>SEM DADOS</v>
      </c>
      <c r="G257" s="37" t="str">
        <f t="shared" si="94"/>
        <v>SEM DADOS</v>
      </c>
      <c r="H257" s="37" t="str">
        <f t="shared" si="95"/>
        <v>SEM DADOS</v>
      </c>
      <c r="I257" s="37" t="str">
        <f t="shared" si="96"/>
        <v>SEM DADOS</v>
      </c>
      <c r="J257" s="37" t="str">
        <f t="shared" si="97"/>
        <v>SEM DADOS</v>
      </c>
      <c r="K257" s="37" t="str">
        <f t="shared" si="98"/>
        <v>SEM DADOS</v>
      </c>
      <c r="L257" s="37" t="str">
        <f t="shared" si="125"/>
        <v>90% de las partículas deben estar entre  y  HRC</v>
      </c>
      <c r="M257" s="130" t="str">
        <f t="shared" si="99"/>
        <v/>
      </c>
      <c r="N257" s="131" t="str">
        <f t="shared" si="100"/>
        <v/>
      </c>
      <c r="O257" s="40" t="str">
        <f t="shared" si="101"/>
        <v/>
      </c>
      <c r="P257" s="130" t="str">
        <f t="shared" si="102"/>
        <v/>
      </c>
      <c r="Q257" s="131" t="str">
        <f t="shared" si="103"/>
        <v/>
      </c>
      <c r="R257" s="40" t="str">
        <f t="shared" si="104"/>
        <v/>
      </c>
      <c r="S257" s="130" t="str">
        <f t="shared" si="105"/>
        <v/>
      </c>
      <c r="T257" s="131" t="str">
        <f t="shared" si="106"/>
        <v/>
      </c>
      <c r="U257" s="40" t="str">
        <f t="shared" si="107"/>
        <v/>
      </c>
      <c r="V257" s="130" t="str">
        <f t="shared" si="108"/>
        <v/>
      </c>
      <c r="W257" s="131" t="str">
        <f t="shared" si="109"/>
        <v/>
      </c>
      <c r="X257" s="40" t="str">
        <f t="shared" si="110"/>
        <v/>
      </c>
      <c r="Y257" s="130" t="str">
        <f t="shared" si="111"/>
        <v/>
      </c>
      <c r="Z257" s="131" t="str">
        <f t="shared" si="112"/>
        <v/>
      </c>
      <c r="AA257" s="40" t="str">
        <f t="shared" si="113"/>
        <v/>
      </c>
      <c r="AB257" s="130" t="str">
        <f t="shared" si="114"/>
        <v/>
      </c>
      <c r="AC257" s="131" t="str">
        <f t="shared" si="115"/>
        <v/>
      </c>
      <c r="AD257" s="40" t="str">
        <f t="shared" si="116"/>
        <v/>
      </c>
      <c r="AE257" s="130" t="str">
        <f t="shared" si="117"/>
        <v/>
      </c>
      <c r="AF257" s="131" t="str">
        <f t="shared" si="118"/>
        <v/>
      </c>
      <c r="AG257" s="40" t="str">
        <f t="shared" si="119"/>
        <v/>
      </c>
      <c r="AH257" s="37" t="str">
        <f t="shared" si="120"/>
        <v/>
      </c>
      <c r="AI257" s="37" t="str">
        <f t="shared" si="121"/>
        <v/>
      </c>
      <c r="AJ257" s="52" t="str">
        <f t="shared" si="122"/>
        <v>SEM DADOS</v>
      </c>
      <c r="AK257" s="145" t="str">
        <f t="shared" si="126"/>
        <v xml:space="preserve"> LINGUA ESPANHOLA</v>
      </c>
      <c r="AL257" s="159">
        <f t="shared" si="123"/>
        <v>0</v>
      </c>
      <c r="AM257" s="141" t="str">
        <f t="shared" si="124"/>
        <v>Sem Dados</v>
      </c>
      <c r="AN257" s="141" t="str">
        <f t="shared" si="127"/>
        <v>0 Sem Dados</v>
      </c>
    </row>
    <row r="258" spans="1:40" ht="15.75" x14ac:dyDescent="0.25">
      <c r="A258" s="36" t="str">
        <f t="shared" si="89"/>
        <v/>
      </c>
      <c r="B258" s="129" t="s">
        <v>123</v>
      </c>
      <c r="C258" s="37" t="str">
        <f t="shared" si="90"/>
        <v xml:space="preserve"> LINGUA ESPANHOLA</v>
      </c>
      <c r="D258" s="129" t="str">
        <f t="shared" si="91"/>
        <v>SEM DADOS</v>
      </c>
      <c r="E258" s="37" t="str">
        <f t="shared" si="92"/>
        <v>SEM DADOS</v>
      </c>
      <c r="F258" s="37" t="str">
        <f t="shared" si="93"/>
        <v>SEM DADOS</v>
      </c>
      <c r="G258" s="37" t="str">
        <f t="shared" si="94"/>
        <v>SEM DADOS</v>
      </c>
      <c r="H258" s="37" t="str">
        <f t="shared" si="95"/>
        <v>SEM DADOS</v>
      </c>
      <c r="I258" s="37" t="str">
        <f t="shared" si="96"/>
        <v>SEM DADOS</v>
      </c>
      <c r="J258" s="37" t="str">
        <f t="shared" si="97"/>
        <v>SEM DADOS</v>
      </c>
      <c r="K258" s="37" t="str">
        <f t="shared" si="98"/>
        <v>SEM DADOS</v>
      </c>
      <c r="L258" s="37" t="str">
        <f t="shared" si="125"/>
        <v>90% de las partículas deben estar entre  y  HRC</v>
      </c>
      <c r="M258" s="130" t="str">
        <f t="shared" si="99"/>
        <v/>
      </c>
      <c r="N258" s="131" t="str">
        <f t="shared" si="100"/>
        <v/>
      </c>
      <c r="O258" s="40" t="str">
        <f t="shared" si="101"/>
        <v/>
      </c>
      <c r="P258" s="130" t="str">
        <f t="shared" si="102"/>
        <v/>
      </c>
      <c r="Q258" s="131" t="str">
        <f t="shared" si="103"/>
        <v/>
      </c>
      <c r="R258" s="40" t="str">
        <f t="shared" si="104"/>
        <v/>
      </c>
      <c r="S258" s="130" t="str">
        <f t="shared" si="105"/>
        <v/>
      </c>
      <c r="T258" s="131" t="str">
        <f t="shared" si="106"/>
        <v/>
      </c>
      <c r="U258" s="40" t="str">
        <f t="shared" si="107"/>
        <v/>
      </c>
      <c r="V258" s="130" t="str">
        <f t="shared" si="108"/>
        <v/>
      </c>
      <c r="W258" s="131" t="str">
        <f t="shared" si="109"/>
        <v/>
      </c>
      <c r="X258" s="40" t="str">
        <f t="shared" si="110"/>
        <v/>
      </c>
      <c r="Y258" s="130" t="str">
        <f t="shared" si="111"/>
        <v/>
      </c>
      <c r="Z258" s="131" t="str">
        <f t="shared" si="112"/>
        <v/>
      </c>
      <c r="AA258" s="40" t="str">
        <f t="shared" si="113"/>
        <v/>
      </c>
      <c r="AB258" s="130" t="str">
        <f t="shared" si="114"/>
        <v/>
      </c>
      <c r="AC258" s="131" t="str">
        <f t="shared" si="115"/>
        <v/>
      </c>
      <c r="AD258" s="40" t="str">
        <f t="shared" si="116"/>
        <v/>
      </c>
      <c r="AE258" s="130" t="str">
        <f t="shared" si="117"/>
        <v/>
      </c>
      <c r="AF258" s="131" t="str">
        <f t="shared" si="118"/>
        <v/>
      </c>
      <c r="AG258" s="40" t="str">
        <f t="shared" si="119"/>
        <v/>
      </c>
      <c r="AH258" s="37" t="str">
        <f t="shared" si="120"/>
        <v/>
      </c>
      <c r="AI258" s="37" t="str">
        <f t="shared" si="121"/>
        <v/>
      </c>
      <c r="AJ258" s="52" t="str">
        <f t="shared" si="122"/>
        <v>SEM DADOS</v>
      </c>
      <c r="AK258" s="145" t="str">
        <f t="shared" si="126"/>
        <v xml:space="preserve"> LINGUA ESPANHOLA</v>
      </c>
      <c r="AL258" s="159">
        <f t="shared" si="123"/>
        <v>0</v>
      </c>
      <c r="AM258" s="141" t="str">
        <f t="shared" si="124"/>
        <v>Sem Dados</v>
      </c>
      <c r="AN258" s="141" t="str">
        <f t="shared" si="127"/>
        <v>0 Sem Dados</v>
      </c>
    </row>
    <row r="259" spans="1:40" ht="15.75" x14ac:dyDescent="0.25">
      <c r="A259" s="36" t="str">
        <f t="shared" si="89"/>
        <v/>
      </c>
      <c r="B259" s="129" t="s">
        <v>123</v>
      </c>
      <c r="C259" s="37" t="str">
        <f t="shared" si="90"/>
        <v xml:space="preserve"> LINGUA ESPANHOLA</v>
      </c>
      <c r="D259" s="129" t="str">
        <f t="shared" si="91"/>
        <v>SEM DADOS</v>
      </c>
      <c r="E259" s="37" t="str">
        <f t="shared" si="92"/>
        <v>SEM DADOS</v>
      </c>
      <c r="F259" s="37" t="str">
        <f t="shared" si="93"/>
        <v>SEM DADOS</v>
      </c>
      <c r="G259" s="37" t="str">
        <f t="shared" si="94"/>
        <v>SEM DADOS</v>
      </c>
      <c r="H259" s="37" t="str">
        <f t="shared" si="95"/>
        <v>SEM DADOS</v>
      </c>
      <c r="I259" s="37" t="str">
        <f t="shared" si="96"/>
        <v>SEM DADOS</v>
      </c>
      <c r="J259" s="37" t="str">
        <f t="shared" si="97"/>
        <v>SEM DADOS</v>
      </c>
      <c r="K259" s="37" t="str">
        <f t="shared" si="98"/>
        <v>SEM DADOS</v>
      </c>
      <c r="L259" s="37" t="str">
        <f t="shared" si="125"/>
        <v>90% de las partículas deben estar entre  y  HRC</v>
      </c>
      <c r="M259" s="130" t="str">
        <f t="shared" si="99"/>
        <v/>
      </c>
      <c r="N259" s="131" t="str">
        <f t="shared" si="100"/>
        <v/>
      </c>
      <c r="O259" s="40" t="str">
        <f t="shared" si="101"/>
        <v/>
      </c>
      <c r="P259" s="130" t="str">
        <f t="shared" si="102"/>
        <v/>
      </c>
      <c r="Q259" s="131" t="str">
        <f t="shared" si="103"/>
        <v/>
      </c>
      <c r="R259" s="40" t="str">
        <f t="shared" si="104"/>
        <v/>
      </c>
      <c r="S259" s="130" t="str">
        <f t="shared" si="105"/>
        <v/>
      </c>
      <c r="T259" s="131" t="str">
        <f t="shared" si="106"/>
        <v/>
      </c>
      <c r="U259" s="40" t="str">
        <f t="shared" si="107"/>
        <v/>
      </c>
      <c r="V259" s="130" t="str">
        <f t="shared" si="108"/>
        <v/>
      </c>
      <c r="W259" s="131" t="str">
        <f t="shared" si="109"/>
        <v/>
      </c>
      <c r="X259" s="40" t="str">
        <f t="shared" si="110"/>
        <v/>
      </c>
      <c r="Y259" s="130" t="str">
        <f t="shared" si="111"/>
        <v/>
      </c>
      <c r="Z259" s="131" t="str">
        <f t="shared" si="112"/>
        <v/>
      </c>
      <c r="AA259" s="40" t="str">
        <f t="shared" si="113"/>
        <v/>
      </c>
      <c r="AB259" s="130" t="str">
        <f t="shared" si="114"/>
        <v/>
      </c>
      <c r="AC259" s="131" t="str">
        <f t="shared" si="115"/>
        <v/>
      </c>
      <c r="AD259" s="40" t="str">
        <f t="shared" si="116"/>
        <v/>
      </c>
      <c r="AE259" s="130" t="str">
        <f t="shared" si="117"/>
        <v/>
      </c>
      <c r="AF259" s="131" t="str">
        <f t="shared" si="118"/>
        <v/>
      </c>
      <c r="AG259" s="40" t="str">
        <f t="shared" si="119"/>
        <v/>
      </c>
      <c r="AH259" s="37" t="str">
        <f t="shared" si="120"/>
        <v/>
      </c>
      <c r="AI259" s="37" t="str">
        <f t="shared" si="121"/>
        <v/>
      </c>
      <c r="AJ259" s="52" t="str">
        <f t="shared" si="122"/>
        <v>SEM DADOS</v>
      </c>
      <c r="AK259" s="145" t="str">
        <f t="shared" si="126"/>
        <v xml:space="preserve"> LINGUA ESPANHOLA</v>
      </c>
      <c r="AL259" s="159">
        <f t="shared" si="123"/>
        <v>0</v>
      </c>
      <c r="AM259" s="141" t="str">
        <f t="shared" si="124"/>
        <v>Sem Dados</v>
      </c>
      <c r="AN259" s="141" t="str">
        <f t="shared" si="127"/>
        <v>0 Sem Dados</v>
      </c>
    </row>
    <row r="260" spans="1:40" ht="15.75" x14ac:dyDescent="0.25">
      <c r="A260" s="36" t="str">
        <f t="shared" si="89"/>
        <v/>
      </c>
      <c r="B260" s="129" t="s">
        <v>123</v>
      </c>
      <c r="C260" s="37" t="str">
        <f t="shared" si="90"/>
        <v xml:space="preserve"> LINGUA ESPANHOLA</v>
      </c>
      <c r="D260" s="129" t="str">
        <f t="shared" si="91"/>
        <v>SEM DADOS</v>
      </c>
      <c r="E260" s="37" t="str">
        <f t="shared" si="92"/>
        <v>SEM DADOS</v>
      </c>
      <c r="F260" s="37" t="str">
        <f t="shared" si="93"/>
        <v>SEM DADOS</v>
      </c>
      <c r="G260" s="37" t="str">
        <f t="shared" si="94"/>
        <v>SEM DADOS</v>
      </c>
      <c r="H260" s="37" t="str">
        <f t="shared" si="95"/>
        <v>SEM DADOS</v>
      </c>
      <c r="I260" s="37" t="str">
        <f t="shared" si="96"/>
        <v>SEM DADOS</v>
      </c>
      <c r="J260" s="37" t="str">
        <f t="shared" si="97"/>
        <v>SEM DADOS</v>
      </c>
      <c r="K260" s="37" t="str">
        <f t="shared" si="98"/>
        <v>SEM DADOS</v>
      </c>
      <c r="L260" s="37" t="str">
        <f t="shared" si="125"/>
        <v>90% de las partículas deben estar entre  y  HRC</v>
      </c>
      <c r="M260" s="130" t="str">
        <f t="shared" si="99"/>
        <v/>
      </c>
      <c r="N260" s="131" t="str">
        <f t="shared" si="100"/>
        <v/>
      </c>
      <c r="O260" s="40" t="str">
        <f t="shared" si="101"/>
        <v/>
      </c>
      <c r="P260" s="130" t="str">
        <f t="shared" si="102"/>
        <v/>
      </c>
      <c r="Q260" s="131" t="str">
        <f t="shared" si="103"/>
        <v/>
      </c>
      <c r="R260" s="40" t="str">
        <f t="shared" si="104"/>
        <v/>
      </c>
      <c r="S260" s="130" t="str">
        <f t="shared" si="105"/>
        <v/>
      </c>
      <c r="T260" s="131" t="str">
        <f t="shared" si="106"/>
        <v/>
      </c>
      <c r="U260" s="40" t="str">
        <f t="shared" si="107"/>
        <v/>
      </c>
      <c r="V260" s="130" t="str">
        <f t="shared" si="108"/>
        <v/>
      </c>
      <c r="W260" s="131" t="str">
        <f t="shared" si="109"/>
        <v/>
      </c>
      <c r="X260" s="40" t="str">
        <f t="shared" si="110"/>
        <v/>
      </c>
      <c r="Y260" s="130" t="str">
        <f t="shared" si="111"/>
        <v/>
      </c>
      <c r="Z260" s="131" t="str">
        <f t="shared" si="112"/>
        <v/>
      </c>
      <c r="AA260" s="40" t="str">
        <f t="shared" si="113"/>
        <v/>
      </c>
      <c r="AB260" s="130" t="str">
        <f t="shared" si="114"/>
        <v/>
      </c>
      <c r="AC260" s="131" t="str">
        <f t="shared" si="115"/>
        <v/>
      </c>
      <c r="AD260" s="40" t="str">
        <f t="shared" si="116"/>
        <v/>
      </c>
      <c r="AE260" s="130" t="str">
        <f t="shared" si="117"/>
        <v/>
      </c>
      <c r="AF260" s="131" t="str">
        <f t="shared" si="118"/>
        <v/>
      </c>
      <c r="AG260" s="40" t="str">
        <f t="shared" si="119"/>
        <v/>
      </c>
      <c r="AH260" s="37" t="str">
        <f t="shared" si="120"/>
        <v/>
      </c>
      <c r="AI260" s="37" t="str">
        <f t="shared" si="121"/>
        <v/>
      </c>
      <c r="AJ260" s="52" t="str">
        <f t="shared" si="122"/>
        <v>SEM DADOS</v>
      </c>
      <c r="AK260" s="145" t="str">
        <f t="shared" si="126"/>
        <v xml:space="preserve"> LINGUA ESPANHOLA</v>
      </c>
      <c r="AL260" s="159">
        <f t="shared" si="123"/>
        <v>0</v>
      </c>
      <c r="AM260" s="141" t="str">
        <f t="shared" si="124"/>
        <v>Sem Dados</v>
      </c>
      <c r="AN260" s="141" t="str">
        <f t="shared" si="127"/>
        <v>0 Sem Dados</v>
      </c>
    </row>
    <row r="261" spans="1:40" ht="15.75" x14ac:dyDescent="0.25">
      <c r="A261" s="36" t="str">
        <f t="shared" si="89"/>
        <v/>
      </c>
      <c r="B261" s="129" t="s">
        <v>123</v>
      </c>
      <c r="C261" s="37" t="str">
        <f t="shared" si="90"/>
        <v xml:space="preserve"> LINGUA ESPANHOLA</v>
      </c>
      <c r="D261" s="129" t="str">
        <f t="shared" si="91"/>
        <v>SEM DADOS</v>
      </c>
      <c r="E261" s="37" t="str">
        <f t="shared" si="92"/>
        <v>SEM DADOS</v>
      </c>
      <c r="F261" s="37" t="str">
        <f t="shared" si="93"/>
        <v>SEM DADOS</v>
      </c>
      <c r="G261" s="37" t="str">
        <f t="shared" si="94"/>
        <v>SEM DADOS</v>
      </c>
      <c r="H261" s="37" t="str">
        <f t="shared" si="95"/>
        <v>SEM DADOS</v>
      </c>
      <c r="I261" s="37" t="str">
        <f t="shared" si="96"/>
        <v>SEM DADOS</v>
      </c>
      <c r="J261" s="37" t="str">
        <f t="shared" si="97"/>
        <v>SEM DADOS</v>
      </c>
      <c r="K261" s="37" t="str">
        <f t="shared" si="98"/>
        <v>SEM DADOS</v>
      </c>
      <c r="L261" s="37" t="str">
        <f t="shared" si="125"/>
        <v>90% de las partículas deben estar entre  y  HRC</v>
      </c>
      <c r="M261" s="130" t="str">
        <f t="shared" si="99"/>
        <v/>
      </c>
      <c r="N261" s="131" t="str">
        <f t="shared" si="100"/>
        <v/>
      </c>
      <c r="O261" s="40" t="str">
        <f t="shared" si="101"/>
        <v/>
      </c>
      <c r="P261" s="130" t="str">
        <f t="shared" si="102"/>
        <v/>
      </c>
      <c r="Q261" s="131" t="str">
        <f t="shared" si="103"/>
        <v/>
      </c>
      <c r="R261" s="40" t="str">
        <f t="shared" si="104"/>
        <v/>
      </c>
      <c r="S261" s="130" t="str">
        <f t="shared" si="105"/>
        <v/>
      </c>
      <c r="T261" s="131" t="str">
        <f t="shared" si="106"/>
        <v/>
      </c>
      <c r="U261" s="40" t="str">
        <f t="shared" si="107"/>
        <v/>
      </c>
      <c r="V261" s="130" t="str">
        <f t="shared" si="108"/>
        <v/>
      </c>
      <c r="W261" s="131" t="str">
        <f t="shared" si="109"/>
        <v/>
      </c>
      <c r="X261" s="40" t="str">
        <f t="shared" si="110"/>
        <v/>
      </c>
      <c r="Y261" s="130" t="str">
        <f t="shared" si="111"/>
        <v/>
      </c>
      <c r="Z261" s="131" t="str">
        <f t="shared" si="112"/>
        <v/>
      </c>
      <c r="AA261" s="40" t="str">
        <f t="shared" si="113"/>
        <v/>
      </c>
      <c r="AB261" s="130" t="str">
        <f t="shared" si="114"/>
        <v/>
      </c>
      <c r="AC261" s="131" t="str">
        <f t="shared" si="115"/>
        <v/>
      </c>
      <c r="AD261" s="40" t="str">
        <f t="shared" si="116"/>
        <v/>
      </c>
      <c r="AE261" s="130" t="str">
        <f t="shared" si="117"/>
        <v/>
      </c>
      <c r="AF261" s="131" t="str">
        <f t="shared" si="118"/>
        <v/>
      </c>
      <c r="AG261" s="40" t="str">
        <f t="shared" si="119"/>
        <v/>
      </c>
      <c r="AH261" s="37" t="str">
        <f t="shared" si="120"/>
        <v/>
      </c>
      <c r="AI261" s="37" t="str">
        <f t="shared" si="121"/>
        <v/>
      </c>
      <c r="AJ261" s="52" t="str">
        <f t="shared" si="122"/>
        <v>SEM DADOS</v>
      </c>
      <c r="AK261" s="145" t="str">
        <f t="shared" si="126"/>
        <v xml:space="preserve"> LINGUA ESPANHOLA</v>
      </c>
      <c r="AL261" s="159">
        <f t="shared" si="123"/>
        <v>0</v>
      </c>
      <c r="AM261" s="141" t="str">
        <f t="shared" si="124"/>
        <v>Sem Dados</v>
      </c>
      <c r="AN261" s="141" t="str">
        <f t="shared" si="127"/>
        <v>0 Sem Dados</v>
      </c>
    </row>
    <row r="262" spans="1:40" ht="15.75" x14ac:dyDescent="0.25">
      <c r="A262" s="36" t="str">
        <f t="shared" si="89"/>
        <v/>
      </c>
      <c r="B262" s="129" t="s">
        <v>123</v>
      </c>
      <c r="C262" s="37" t="str">
        <f t="shared" si="90"/>
        <v xml:space="preserve"> LINGUA ESPANHOLA</v>
      </c>
      <c r="D262" s="129" t="str">
        <f t="shared" si="91"/>
        <v>SEM DADOS</v>
      </c>
      <c r="E262" s="37" t="str">
        <f t="shared" si="92"/>
        <v>SEM DADOS</v>
      </c>
      <c r="F262" s="37" t="str">
        <f t="shared" si="93"/>
        <v>SEM DADOS</v>
      </c>
      <c r="G262" s="37" t="str">
        <f t="shared" si="94"/>
        <v>SEM DADOS</v>
      </c>
      <c r="H262" s="37" t="str">
        <f t="shared" si="95"/>
        <v>SEM DADOS</v>
      </c>
      <c r="I262" s="37" t="str">
        <f t="shared" si="96"/>
        <v>SEM DADOS</v>
      </c>
      <c r="J262" s="37" t="str">
        <f t="shared" si="97"/>
        <v>SEM DADOS</v>
      </c>
      <c r="K262" s="37" t="str">
        <f t="shared" si="98"/>
        <v>SEM DADOS</v>
      </c>
      <c r="L262" s="37" t="str">
        <f t="shared" si="125"/>
        <v>90% de las partículas deben estar entre  y  HRC</v>
      </c>
      <c r="M262" s="130" t="str">
        <f t="shared" si="99"/>
        <v/>
      </c>
      <c r="N262" s="131" t="str">
        <f t="shared" si="100"/>
        <v/>
      </c>
      <c r="O262" s="40" t="str">
        <f t="shared" si="101"/>
        <v/>
      </c>
      <c r="P262" s="130" t="str">
        <f t="shared" si="102"/>
        <v/>
      </c>
      <c r="Q262" s="131" t="str">
        <f t="shared" si="103"/>
        <v/>
      </c>
      <c r="R262" s="40" t="str">
        <f t="shared" si="104"/>
        <v/>
      </c>
      <c r="S262" s="130" t="str">
        <f t="shared" si="105"/>
        <v/>
      </c>
      <c r="T262" s="131" t="str">
        <f t="shared" si="106"/>
        <v/>
      </c>
      <c r="U262" s="40" t="str">
        <f t="shared" si="107"/>
        <v/>
      </c>
      <c r="V262" s="130" t="str">
        <f t="shared" si="108"/>
        <v/>
      </c>
      <c r="W262" s="131" t="str">
        <f t="shared" si="109"/>
        <v/>
      </c>
      <c r="X262" s="40" t="str">
        <f t="shared" si="110"/>
        <v/>
      </c>
      <c r="Y262" s="130" t="str">
        <f t="shared" si="111"/>
        <v/>
      </c>
      <c r="Z262" s="131" t="str">
        <f t="shared" si="112"/>
        <v/>
      </c>
      <c r="AA262" s="40" t="str">
        <f t="shared" si="113"/>
        <v/>
      </c>
      <c r="AB262" s="130" t="str">
        <f t="shared" si="114"/>
        <v/>
      </c>
      <c r="AC262" s="131" t="str">
        <f t="shared" si="115"/>
        <v/>
      </c>
      <c r="AD262" s="40" t="str">
        <f t="shared" si="116"/>
        <v/>
      </c>
      <c r="AE262" s="130" t="str">
        <f t="shared" si="117"/>
        <v/>
      </c>
      <c r="AF262" s="131" t="str">
        <f t="shared" si="118"/>
        <v/>
      </c>
      <c r="AG262" s="40" t="str">
        <f t="shared" si="119"/>
        <v/>
      </c>
      <c r="AH262" s="37" t="str">
        <f t="shared" si="120"/>
        <v/>
      </c>
      <c r="AI262" s="37" t="str">
        <f t="shared" si="121"/>
        <v/>
      </c>
      <c r="AJ262" s="52" t="str">
        <f t="shared" si="122"/>
        <v>SEM DADOS</v>
      </c>
      <c r="AK262" s="145" t="str">
        <f t="shared" si="126"/>
        <v xml:space="preserve"> LINGUA ESPANHOLA</v>
      </c>
      <c r="AL262" s="159">
        <f t="shared" si="123"/>
        <v>0</v>
      </c>
      <c r="AM262" s="141" t="str">
        <f t="shared" si="124"/>
        <v>Sem Dados</v>
      </c>
      <c r="AN262" s="141" t="str">
        <f t="shared" si="127"/>
        <v>0 Sem Dados</v>
      </c>
    </row>
    <row r="263" spans="1:40" ht="15.75" x14ac:dyDescent="0.25">
      <c r="A263" s="36" t="str">
        <f t="shared" si="89"/>
        <v/>
      </c>
      <c r="B263" s="129" t="s">
        <v>123</v>
      </c>
      <c r="C263" s="37" t="str">
        <f t="shared" si="90"/>
        <v xml:space="preserve"> LINGUA ESPANHOLA</v>
      </c>
      <c r="D263" s="129" t="str">
        <f t="shared" si="91"/>
        <v>SEM DADOS</v>
      </c>
      <c r="E263" s="37" t="str">
        <f t="shared" si="92"/>
        <v>SEM DADOS</v>
      </c>
      <c r="F263" s="37" t="str">
        <f t="shared" si="93"/>
        <v>SEM DADOS</v>
      </c>
      <c r="G263" s="37" t="str">
        <f t="shared" si="94"/>
        <v>SEM DADOS</v>
      </c>
      <c r="H263" s="37" t="str">
        <f t="shared" si="95"/>
        <v>SEM DADOS</v>
      </c>
      <c r="I263" s="37" t="str">
        <f t="shared" si="96"/>
        <v>SEM DADOS</v>
      </c>
      <c r="J263" s="37" t="str">
        <f t="shared" si="97"/>
        <v>SEM DADOS</v>
      </c>
      <c r="K263" s="37" t="str">
        <f t="shared" si="98"/>
        <v>SEM DADOS</v>
      </c>
      <c r="L263" s="37" t="str">
        <f t="shared" si="125"/>
        <v>90% de las partículas deben estar entre  y  HRC</v>
      </c>
      <c r="M263" s="130" t="str">
        <f t="shared" si="99"/>
        <v/>
      </c>
      <c r="N263" s="131" t="str">
        <f t="shared" si="100"/>
        <v/>
      </c>
      <c r="O263" s="40" t="str">
        <f t="shared" si="101"/>
        <v/>
      </c>
      <c r="P263" s="130" t="str">
        <f t="shared" si="102"/>
        <v/>
      </c>
      <c r="Q263" s="131" t="str">
        <f t="shared" si="103"/>
        <v/>
      </c>
      <c r="R263" s="40" t="str">
        <f t="shared" si="104"/>
        <v/>
      </c>
      <c r="S263" s="130" t="str">
        <f t="shared" si="105"/>
        <v/>
      </c>
      <c r="T263" s="131" t="str">
        <f t="shared" si="106"/>
        <v/>
      </c>
      <c r="U263" s="40" t="str">
        <f t="shared" si="107"/>
        <v/>
      </c>
      <c r="V263" s="130" t="str">
        <f t="shared" si="108"/>
        <v/>
      </c>
      <c r="W263" s="131" t="str">
        <f t="shared" si="109"/>
        <v/>
      </c>
      <c r="X263" s="40" t="str">
        <f t="shared" si="110"/>
        <v/>
      </c>
      <c r="Y263" s="130" t="str">
        <f t="shared" si="111"/>
        <v/>
      </c>
      <c r="Z263" s="131" t="str">
        <f t="shared" si="112"/>
        <v/>
      </c>
      <c r="AA263" s="40" t="str">
        <f t="shared" si="113"/>
        <v/>
      </c>
      <c r="AB263" s="130" t="str">
        <f t="shared" si="114"/>
        <v/>
      </c>
      <c r="AC263" s="131" t="str">
        <f t="shared" si="115"/>
        <v/>
      </c>
      <c r="AD263" s="40" t="str">
        <f t="shared" si="116"/>
        <v/>
      </c>
      <c r="AE263" s="130" t="str">
        <f t="shared" si="117"/>
        <v/>
      </c>
      <c r="AF263" s="131" t="str">
        <f t="shared" si="118"/>
        <v/>
      </c>
      <c r="AG263" s="40" t="str">
        <f t="shared" si="119"/>
        <v/>
      </c>
      <c r="AH263" s="37" t="str">
        <f t="shared" si="120"/>
        <v/>
      </c>
      <c r="AI263" s="37" t="str">
        <f t="shared" si="121"/>
        <v/>
      </c>
      <c r="AJ263" s="52" t="str">
        <f t="shared" si="122"/>
        <v>SEM DADOS</v>
      </c>
      <c r="AK263" s="145" t="str">
        <f t="shared" si="126"/>
        <v xml:space="preserve"> LINGUA ESPANHOLA</v>
      </c>
      <c r="AL263" s="159">
        <f t="shared" si="123"/>
        <v>0</v>
      </c>
      <c r="AM263" s="141" t="str">
        <f t="shared" si="124"/>
        <v>Sem Dados</v>
      </c>
      <c r="AN263" s="141" t="str">
        <f t="shared" si="127"/>
        <v>0 Sem Dados</v>
      </c>
    </row>
    <row r="264" spans="1:40" ht="15.75" x14ac:dyDescent="0.25">
      <c r="A264" s="36" t="str">
        <f t="shared" si="89"/>
        <v/>
      </c>
      <c r="B264" s="129" t="s">
        <v>123</v>
      </c>
      <c r="C264" s="37" t="str">
        <f t="shared" si="90"/>
        <v xml:space="preserve"> LINGUA ESPANHOLA</v>
      </c>
      <c r="D264" s="129" t="str">
        <f t="shared" si="91"/>
        <v>SEM DADOS</v>
      </c>
      <c r="E264" s="37" t="str">
        <f t="shared" si="92"/>
        <v>SEM DADOS</v>
      </c>
      <c r="F264" s="37" t="str">
        <f t="shared" si="93"/>
        <v>SEM DADOS</v>
      </c>
      <c r="G264" s="37" t="str">
        <f t="shared" si="94"/>
        <v>SEM DADOS</v>
      </c>
      <c r="H264" s="37" t="str">
        <f t="shared" si="95"/>
        <v>SEM DADOS</v>
      </c>
      <c r="I264" s="37" t="str">
        <f t="shared" si="96"/>
        <v>SEM DADOS</v>
      </c>
      <c r="J264" s="37" t="str">
        <f t="shared" si="97"/>
        <v>SEM DADOS</v>
      </c>
      <c r="K264" s="37" t="str">
        <f t="shared" si="98"/>
        <v>SEM DADOS</v>
      </c>
      <c r="L264" s="37" t="str">
        <f t="shared" si="125"/>
        <v>90% de las partículas deben estar entre  y  HRC</v>
      </c>
      <c r="M264" s="130" t="str">
        <f t="shared" si="99"/>
        <v/>
      </c>
      <c r="N264" s="131" t="str">
        <f t="shared" si="100"/>
        <v/>
      </c>
      <c r="O264" s="40" t="str">
        <f t="shared" si="101"/>
        <v/>
      </c>
      <c r="P264" s="130" t="str">
        <f t="shared" si="102"/>
        <v/>
      </c>
      <c r="Q264" s="131" t="str">
        <f t="shared" si="103"/>
        <v/>
      </c>
      <c r="R264" s="40" t="str">
        <f t="shared" si="104"/>
        <v/>
      </c>
      <c r="S264" s="130" t="str">
        <f t="shared" si="105"/>
        <v/>
      </c>
      <c r="T264" s="131" t="str">
        <f t="shared" si="106"/>
        <v/>
      </c>
      <c r="U264" s="40" t="str">
        <f t="shared" si="107"/>
        <v/>
      </c>
      <c r="V264" s="130" t="str">
        <f t="shared" si="108"/>
        <v/>
      </c>
      <c r="W264" s="131" t="str">
        <f t="shared" si="109"/>
        <v/>
      </c>
      <c r="X264" s="40" t="str">
        <f t="shared" si="110"/>
        <v/>
      </c>
      <c r="Y264" s="130" t="str">
        <f t="shared" si="111"/>
        <v/>
      </c>
      <c r="Z264" s="131" t="str">
        <f t="shared" si="112"/>
        <v/>
      </c>
      <c r="AA264" s="40" t="str">
        <f t="shared" si="113"/>
        <v/>
      </c>
      <c r="AB264" s="130" t="str">
        <f t="shared" si="114"/>
        <v/>
      </c>
      <c r="AC264" s="131" t="str">
        <f t="shared" si="115"/>
        <v/>
      </c>
      <c r="AD264" s="40" t="str">
        <f t="shared" si="116"/>
        <v/>
      </c>
      <c r="AE264" s="130" t="str">
        <f t="shared" si="117"/>
        <v/>
      </c>
      <c r="AF264" s="131" t="str">
        <f t="shared" si="118"/>
        <v/>
      </c>
      <c r="AG264" s="40" t="str">
        <f t="shared" si="119"/>
        <v/>
      </c>
      <c r="AH264" s="37" t="str">
        <f t="shared" si="120"/>
        <v/>
      </c>
      <c r="AI264" s="37" t="str">
        <f t="shared" si="121"/>
        <v/>
      </c>
      <c r="AJ264" s="52" t="str">
        <f t="shared" si="122"/>
        <v>SEM DADOS</v>
      </c>
      <c r="AK264" s="145" t="str">
        <f t="shared" si="126"/>
        <v xml:space="preserve"> LINGUA ESPANHOLA</v>
      </c>
      <c r="AL264" s="159">
        <f t="shared" si="123"/>
        <v>0</v>
      </c>
      <c r="AM264" s="141" t="str">
        <f t="shared" si="124"/>
        <v>Sem Dados</v>
      </c>
      <c r="AN264" s="141" t="str">
        <f t="shared" si="127"/>
        <v>0 Sem Dados</v>
      </c>
    </row>
    <row r="265" spans="1:40" ht="15.75" x14ac:dyDescent="0.25">
      <c r="A265" s="36" t="str">
        <f t="shared" si="89"/>
        <v/>
      </c>
      <c r="B265" s="129" t="s">
        <v>123</v>
      </c>
      <c r="C265" s="37" t="str">
        <f t="shared" si="90"/>
        <v xml:space="preserve"> LINGUA ESPANHOLA</v>
      </c>
      <c r="D265" s="129" t="str">
        <f t="shared" si="91"/>
        <v>SEM DADOS</v>
      </c>
      <c r="E265" s="37" t="str">
        <f t="shared" si="92"/>
        <v>SEM DADOS</v>
      </c>
      <c r="F265" s="37" t="str">
        <f t="shared" si="93"/>
        <v>SEM DADOS</v>
      </c>
      <c r="G265" s="37" t="str">
        <f t="shared" si="94"/>
        <v>SEM DADOS</v>
      </c>
      <c r="H265" s="37" t="str">
        <f t="shared" si="95"/>
        <v>SEM DADOS</v>
      </c>
      <c r="I265" s="37" t="str">
        <f t="shared" si="96"/>
        <v>SEM DADOS</v>
      </c>
      <c r="J265" s="37" t="str">
        <f t="shared" si="97"/>
        <v>SEM DADOS</v>
      </c>
      <c r="K265" s="37" t="str">
        <f t="shared" si="98"/>
        <v>SEM DADOS</v>
      </c>
      <c r="L265" s="37" t="str">
        <f t="shared" si="125"/>
        <v>90% de las partículas deben estar entre  y  HRC</v>
      </c>
      <c r="M265" s="130" t="str">
        <f t="shared" si="99"/>
        <v/>
      </c>
      <c r="N265" s="131" t="str">
        <f t="shared" si="100"/>
        <v/>
      </c>
      <c r="O265" s="40" t="str">
        <f t="shared" si="101"/>
        <v/>
      </c>
      <c r="P265" s="130" t="str">
        <f t="shared" si="102"/>
        <v/>
      </c>
      <c r="Q265" s="131" t="str">
        <f t="shared" si="103"/>
        <v/>
      </c>
      <c r="R265" s="40" t="str">
        <f t="shared" si="104"/>
        <v/>
      </c>
      <c r="S265" s="130" t="str">
        <f t="shared" si="105"/>
        <v/>
      </c>
      <c r="T265" s="131" t="str">
        <f t="shared" si="106"/>
        <v/>
      </c>
      <c r="U265" s="40" t="str">
        <f t="shared" si="107"/>
        <v/>
      </c>
      <c r="V265" s="130" t="str">
        <f t="shared" si="108"/>
        <v/>
      </c>
      <c r="W265" s="131" t="str">
        <f t="shared" si="109"/>
        <v/>
      </c>
      <c r="X265" s="40" t="str">
        <f t="shared" si="110"/>
        <v/>
      </c>
      <c r="Y265" s="130" t="str">
        <f t="shared" si="111"/>
        <v/>
      </c>
      <c r="Z265" s="131" t="str">
        <f t="shared" si="112"/>
        <v/>
      </c>
      <c r="AA265" s="40" t="str">
        <f t="shared" si="113"/>
        <v/>
      </c>
      <c r="AB265" s="130" t="str">
        <f t="shared" si="114"/>
        <v/>
      </c>
      <c r="AC265" s="131" t="str">
        <f t="shared" si="115"/>
        <v/>
      </c>
      <c r="AD265" s="40" t="str">
        <f t="shared" si="116"/>
        <v/>
      </c>
      <c r="AE265" s="130" t="str">
        <f t="shared" si="117"/>
        <v/>
      </c>
      <c r="AF265" s="131" t="str">
        <f t="shared" si="118"/>
        <v/>
      </c>
      <c r="AG265" s="40" t="str">
        <f t="shared" si="119"/>
        <v/>
      </c>
      <c r="AH265" s="37" t="str">
        <f t="shared" si="120"/>
        <v/>
      </c>
      <c r="AI265" s="37" t="str">
        <f t="shared" si="121"/>
        <v/>
      </c>
      <c r="AJ265" s="52" t="str">
        <f t="shared" si="122"/>
        <v>SEM DADOS</v>
      </c>
      <c r="AK265" s="145" t="str">
        <f t="shared" si="126"/>
        <v xml:space="preserve"> LINGUA ESPANHOLA</v>
      </c>
      <c r="AL265" s="159">
        <f t="shared" si="123"/>
        <v>0</v>
      </c>
      <c r="AM265" s="141" t="str">
        <f t="shared" si="124"/>
        <v>Sem Dados</v>
      </c>
      <c r="AN265" s="141" t="str">
        <f t="shared" si="127"/>
        <v>0 Sem Dados</v>
      </c>
    </row>
    <row r="266" spans="1:40" ht="15.75" x14ac:dyDescent="0.25">
      <c r="A266" s="36" t="str">
        <f t="shared" si="89"/>
        <v/>
      </c>
      <c r="B266" s="129" t="s">
        <v>123</v>
      </c>
      <c r="C266" s="37" t="str">
        <f t="shared" si="90"/>
        <v xml:space="preserve"> LINGUA ESPANHOLA</v>
      </c>
      <c r="D266" s="129" t="str">
        <f t="shared" si="91"/>
        <v>SEM DADOS</v>
      </c>
      <c r="E266" s="37" t="str">
        <f t="shared" si="92"/>
        <v>SEM DADOS</v>
      </c>
      <c r="F266" s="37" t="str">
        <f t="shared" si="93"/>
        <v>SEM DADOS</v>
      </c>
      <c r="G266" s="37" t="str">
        <f t="shared" si="94"/>
        <v>SEM DADOS</v>
      </c>
      <c r="H266" s="37" t="str">
        <f t="shared" si="95"/>
        <v>SEM DADOS</v>
      </c>
      <c r="I266" s="37" t="str">
        <f t="shared" si="96"/>
        <v>SEM DADOS</v>
      </c>
      <c r="J266" s="37" t="str">
        <f t="shared" si="97"/>
        <v>SEM DADOS</v>
      </c>
      <c r="K266" s="37" t="str">
        <f t="shared" si="98"/>
        <v>SEM DADOS</v>
      </c>
      <c r="L266" s="37" t="str">
        <f t="shared" si="125"/>
        <v>90% de las partículas deben estar entre  y  HRC</v>
      </c>
      <c r="M266" s="130" t="str">
        <f t="shared" si="99"/>
        <v/>
      </c>
      <c r="N266" s="131" t="str">
        <f t="shared" si="100"/>
        <v/>
      </c>
      <c r="O266" s="40" t="str">
        <f t="shared" si="101"/>
        <v/>
      </c>
      <c r="P266" s="130" t="str">
        <f t="shared" si="102"/>
        <v/>
      </c>
      <c r="Q266" s="131" t="str">
        <f t="shared" si="103"/>
        <v/>
      </c>
      <c r="R266" s="40" t="str">
        <f t="shared" si="104"/>
        <v/>
      </c>
      <c r="S266" s="130" t="str">
        <f t="shared" si="105"/>
        <v/>
      </c>
      <c r="T266" s="131" t="str">
        <f t="shared" si="106"/>
        <v/>
      </c>
      <c r="U266" s="40" t="str">
        <f t="shared" si="107"/>
        <v/>
      </c>
      <c r="V266" s="130" t="str">
        <f t="shared" si="108"/>
        <v/>
      </c>
      <c r="W266" s="131" t="str">
        <f t="shared" si="109"/>
        <v/>
      </c>
      <c r="X266" s="40" t="str">
        <f t="shared" si="110"/>
        <v/>
      </c>
      <c r="Y266" s="130" t="str">
        <f t="shared" si="111"/>
        <v/>
      </c>
      <c r="Z266" s="131" t="str">
        <f t="shared" si="112"/>
        <v/>
      </c>
      <c r="AA266" s="40" t="str">
        <f t="shared" si="113"/>
        <v/>
      </c>
      <c r="AB266" s="130" t="str">
        <f t="shared" si="114"/>
        <v/>
      </c>
      <c r="AC266" s="131" t="str">
        <f t="shared" si="115"/>
        <v/>
      </c>
      <c r="AD266" s="40" t="str">
        <f t="shared" si="116"/>
        <v/>
      </c>
      <c r="AE266" s="130" t="str">
        <f t="shared" si="117"/>
        <v/>
      </c>
      <c r="AF266" s="131" t="str">
        <f t="shared" si="118"/>
        <v/>
      </c>
      <c r="AG266" s="40" t="str">
        <f t="shared" si="119"/>
        <v/>
      </c>
      <c r="AH266" s="37" t="str">
        <f t="shared" si="120"/>
        <v/>
      </c>
      <c r="AI266" s="37" t="str">
        <f t="shared" si="121"/>
        <v/>
      </c>
      <c r="AJ266" s="52" t="str">
        <f t="shared" si="122"/>
        <v>SEM DADOS</v>
      </c>
      <c r="AK266" s="145" t="str">
        <f t="shared" si="126"/>
        <v xml:space="preserve"> LINGUA ESPANHOLA</v>
      </c>
      <c r="AL266" s="159">
        <f t="shared" si="123"/>
        <v>0</v>
      </c>
      <c r="AM266" s="141" t="str">
        <f t="shared" si="124"/>
        <v>Sem Dados</v>
      </c>
      <c r="AN266" s="141" t="str">
        <f t="shared" si="127"/>
        <v>0 Sem Dados</v>
      </c>
    </row>
    <row r="267" spans="1:40" ht="15.75" x14ac:dyDescent="0.25">
      <c r="A267" s="36" t="str">
        <f t="shared" si="89"/>
        <v/>
      </c>
      <c r="B267" s="129" t="s">
        <v>123</v>
      </c>
      <c r="C267" s="37" t="str">
        <f t="shared" si="90"/>
        <v xml:space="preserve"> LINGUA ESPANHOLA</v>
      </c>
      <c r="D267" s="129" t="str">
        <f t="shared" si="91"/>
        <v>SEM DADOS</v>
      </c>
      <c r="E267" s="37" t="str">
        <f t="shared" si="92"/>
        <v>SEM DADOS</v>
      </c>
      <c r="F267" s="37" t="str">
        <f t="shared" si="93"/>
        <v>SEM DADOS</v>
      </c>
      <c r="G267" s="37" t="str">
        <f t="shared" si="94"/>
        <v>SEM DADOS</v>
      </c>
      <c r="H267" s="37" t="str">
        <f t="shared" si="95"/>
        <v>SEM DADOS</v>
      </c>
      <c r="I267" s="37" t="str">
        <f t="shared" si="96"/>
        <v>SEM DADOS</v>
      </c>
      <c r="J267" s="37" t="str">
        <f t="shared" si="97"/>
        <v>SEM DADOS</v>
      </c>
      <c r="K267" s="37" t="str">
        <f t="shared" si="98"/>
        <v>SEM DADOS</v>
      </c>
      <c r="L267" s="37" t="str">
        <f t="shared" si="125"/>
        <v>90% de las partículas deben estar entre  y  HRC</v>
      </c>
      <c r="M267" s="130" t="str">
        <f t="shared" si="99"/>
        <v/>
      </c>
      <c r="N267" s="131" t="str">
        <f t="shared" si="100"/>
        <v/>
      </c>
      <c r="O267" s="40" t="str">
        <f t="shared" si="101"/>
        <v/>
      </c>
      <c r="P267" s="130" t="str">
        <f t="shared" si="102"/>
        <v/>
      </c>
      <c r="Q267" s="131" t="str">
        <f t="shared" si="103"/>
        <v/>
      </c>
      <c r="R267" s="40" t="str">
        <f t="shared" si="104"/>
        <v/>
      </c>
      <c r="S267" s="130" t="str">
        <f t="shared" si="105"/>
        <v/>
      </c>
      <c r="T267" s="131" t="str">
        <f t="shared" si="106"/>
        <v/>
      </c>
      <c r="U267" s="40" t="str">
        <f t="shared" si="107"/>
        <v/>
      </c>
      <c r="V267" s="130" t="str">
        <f t="shared" si="108"/>
        <v/>
      </c>
      <c r="W267" s="131" t="str">
        <f t="shared" si="109"/>
        <v/>
      </c>
      <c r="X267" s="40" t="str">
        <f t="shared" si="110"/>
        <v/>
      </c>
      <c r="Y267" s="130" t="str">
        <f t="shared" si="111"/>
        <v/>
      </c>
      <c r="Z267" s="131" t="str">
        <f t="shared" si="112"/>
        <v/>
      </c>
      <c r="AA267" s="40" t="str">
        <f t="shared" si="113"/>
        <v/>
      </c>
      <c r="AB267" s="130" t="str">
        <f t="shared" si="114"/>
        <v/>
      </c>
      <c r="AC267" s="131" t="str">
        <f t="shared" si="115"/>
        <v/>
      </c>
      <c r="AD267" s="40" t="str">
        <f t="shared" si="116"/>
        <v/>
      </c>
      <c r="AE267" s="130" t="str">
        <f t="shared" si="117"/>
        <v/>
      </c>
      <c r="AF267" s="131" t="str">
        <f t="shared" si="118"/>
        <v/>
      </c>
      <c r="AG267" s="40" t="str">
        <f t="shared" si="119"/>
        <v/>
      </c>
      <c r="AH267" s="37" t="str">
        <f t="shared" si="120"/>
        <v/>
      </c>
      <c r="AI267" s="37" t="str">
        <f t="shared" si="121"/>
        <v/>
      </c>
      <c r="AJ267" s="52" t="str">
        <f t="shared" si="122"/>
        <v>SEM DADOS</v>
      </c>
      <c r="AK267" s="145" t="str">
        <f t="shared" si="126"/>
        <v xml:space="preserve"> LINGUA ESPANHOLA</v>
      </c>
      <c r="AL267" s="159">
        <f t="shared" si="123"/>
        <v>0</v>
      </c>
      <c r="AM267" s="141" t="str">
        <f t="shared" si="124"/>
        <v>Sem Dados</v>
      </c>
      <c r="AN267" s="141" t="str">
        <f t="shared" si="127"/>
        <v>0 Sem Dados</v>
      </c>
    </row>
    <row r="268" spans="1:40" ht="15.75" x14ac:dyDescent="0.25">
      <c r="A268" s="36" t="str">
        <f t="shared" si="89"/>
        <v/>
      </c>
      <c r="B268" s="129" t="s">
        <v>123</v>
      </c>
      <c r="C268" s="37" t="str">
        <f t="shared" si="90"/>
        <v xml:space="preserve"> LINGUA ESPANHOLA</v>
      </c>
      <c r="D268" s="129" t="str">
        <f t="shared" si="91"/>
        <v>SEM DADOS</v>
      </c>
      <c r="E268" s="37" t="str">
        <f t="shared" si="92"/>
        <v>SEM DADOS</v>
      </c>
      <c r="F268" s="37" t="str">
        <f t="shared" si="93"/>
        <v>SEM DADOS</v>
      </c>
      <c r="G268" s="37" t="str">
        <f t="shared" si="94"/>
        <v>SEM DADOS</v>
      </c>
      <c r="H268" s="37" t="str">
        <f t="shared" si="95"/>
        <v>SEM DADOS</v>
      </c>
      <c r="I268" s="37" t="str">
        <f t="shared" si="96"/>
        <v>SEM DADOS</v>
      </c>
      <c r="J268" s="37" t="str">
        <f t="shared" si="97"/>
        <v>SEM DADOS</v>
      </c>
      <c r="K268" s="37" t="str">
        <f t="shared" si="98"/>
        <v>SEM DADOS</v>
      </c>
      <c r="L268" s="37" t="str">
        <f t="shared" si="125"/>
        <v>90% de las partículas deben estar entre  y  HRC</v>
      </c>
      <c r="M268" s="130" t="str">
        <f t="shared" si="99"/>
        <v/>
      </c>
      <c r="N268" s="131" t="str">
        <f t="shared" si="100"/>
        <v/>
      </c>
      <c r="O268" s="40" t="str">
        <f t="shared" si="101"/>
        <v/>
      </c>
      <c r="P268" s="130" t="str">
        <f t="shared" si="102"/>
        <v/>
      </c>
      <c r="Q268" s="131" t="str">
        <f t="shared" si="103"/>
        <v/>
      </c>
      <c r="R268" s="40" t="str">
        <f t="shared" si="104"/>
        <v/>
      </c>
      <c r="S268" s="130" t="str">
        <f t="shared" si="105"/>
        <v/>
      </c>
      <c r="T268" s="131" t="str">
        <f t="shared" si="106"/>
        <v/>
      </c>
      <c r="U268" s="40" t="str">
        <f t="shared" si="107"/>
        <v/>
      </c>
      <c r="V268" s="130" t="str">
        <f t="shared" si="108"/>
        <v/>
      </c>
      <c r="W268" s="131" t="str">
        <f t="shared" si="109"/>
        <v/>
      </c>
      <c r="X268" s="40" t="str">
        <f t="shared" si="110"/>
        <v/>
      </c>
      <c r="Y268" s="130" t="str">
        <f t="shared" si="111"/>
        <v/>
      </c>
      <c r="Z268" s="131" t="str">
        <f t="shared" si="112"/>
        <v/>
      </c>
      <c r="AA268" s="40" t="str">
        <f t="shared" si="113"/>
        <v/>
      </c>
      <c r="AB268" s="130" t="str">
        <f t="shared" si="114"/>
        <v/>
      </c>
      <c r="AC268" s="131" t="str">
        <f t="shared" si="115"/>
        <v/>
      </c>
      <c r="AD268" s="40" t="str">
        <f t="shared" si="116"/>
        <v/>
      </c>
      <c r="AE268" s="130" t="str">
        <f t="shared" si="117"/>
        <v/>
      </c>
      <c r="AF268" s="131" t="str">
        <f t="shared" si="118"/>
        <v/>
      </c>
      <c r="AG268" s="40" t="str">
        <f t="shared" si="119"/>
        <v/>
      </c>
      <c r="AH268" s="37" t="str">
        <f t="shared" si="120"/>
        <v/>
      </c>
      <c r="AI268" s="37" t="str">
        <f t="shared" si="121"/>
        <v/>
      </c>
      <c r="AJ268" s="52" t="str">
        <f t="shared" si="122"/>
        <v>SEM DADOS</v>
      </c>
      <c r="AK268" s="145" t="str">
        <f t="shared" si="126"/>
        <v xml:space="preserve"> LINGUA ESPANHOLA</v>
      </c>
      <c r="AL268" s="159">
        <f t="shared" si="123"/>
        <v>0</v>
      </c>
      <c r="AM268" s="141" t="str">
        <f t="shared" si="124"/>
        <v>Sem Dados</v>
      </c>
      <c r="AN268" s="141" t="str">
        <f t="shared" si="127"/>
        <v>0 Sem Dados</v>
      </c>
    </row>
    <row r="269" spans="1:40" ht="15.75" x14ac:dyDescent="0.25">
      <c r="A269" s="36" t="str">
        <f t="shared" si="89"/>
        <v/>
      </c>
      <c r="B269" s="129" t="s">
        <v>123</v>
      </c>
      <c r="C269" s="37" t="str">
        <f t="shared" si="90"/>
        <v xml:space="preserve"> LINGUA ESPANHOLA</v>
      </c>
      <c r="D269" s="129" t="str">
        <f t="shared" si="91"/>
        <v>SEM DADOS</v>
      </c>
      <c r="E269" s="37" t="str">
        <f t="shared" si="92"/>
        <v>SEM DADOS</v>
      </c>
      <c r="F269" s="37" t="str">
        <f t="shared" si="93"/>
        <v>SEM DADOS</v>
      </c>
      <c r="G269" s="37" t="str">
        <f t="shared" si="94"/>
        <v>SEM DADOS</v>
      </c>
      <c r="H269" s="37" t="str">
        <f t="shared" si="95"/>
        <v>SEM DADOS</v>
      </c>
      <c r="I269" s="37" t="str">
        <f t="shared" si="96"/>
        <v>SEM DADOS</v>
      </c>
      <c r="J269" s="37" t="str">
        <f t="shared" si="97"/>
        <v>SEM DADOS</v>
      </c>
      <c r="K269" s="37" t="str">
        <f t="shared" si="98"/>
        <v>SEM DADOS</v>
      </c>
      <c r="L269" s="37" t="str">
        <f t="shared" si="125"/>
        <v>90% de las partículas deben estar entre  y  HRC</v>
      </c>
      <c r="M269" s="130" t="str">
        <f t="shared" si="99"/>
        <v/>
      </c>
      <c r="N269" s="131" t="str">
        <f t="shared" si="100"/>
        <v/>
      </c>
      <c r="O269" s="40" t="str">
        <f t="shared" si="101"/>
        <v/>
      </c>
      <c r="P269" s="130" t="str">
        <f t="shared" si="102"/>
        <v/>
      </c>
      <c r="Q269" s="131" t="str">
        <f t="shared" si="103"/>
        <v/>
      </c>
      <c r="R269" s="40" t="str">
        <f t="shared" si="104"/>
        <v/>
      </c>
      <c r="S269" s="130" t="str">
        <f t="shared" si="105"/>
        <v/>
      </c>
      <c r="T269" s="131" t="str">
        <f t="shared" si="106"/>
        <v/>
      </c>
      <c r="U269" s="40" t="str">
        <f t="shared" si="107"/>
        <v/>
      </c>
      <c r="V269" s="130" t="str">
        <f t="shared" si="108"/>
        <v/>
      </c>
      <c r="W269" s="131" t="str">
        <f t="shared" si="109"/>
        <v/>
      </c>
      <c r="X269" s="40" t="str">
        <f t="shared" si="110"/>
        <v/>
      </c>
      <c r="Y269" s="130" t="str">
        <f t="shared" si="111"/>
        <v/>
      </c>
      <c r="Z269" s="131" t="str">
        <f t="shared" si="112"/>
        <v/>
      </c>
      <c r="AA269" s="40" t="str">
        <f t="shared" si="113"/>
        <v/>
      </c>
      <c r="AB269" s="130" t="str">
        <f t="shared" si="114"/>
        <v/>
      </c>
      <c r="AC269" s="131" t="str">
        <f t="shared" si="115"/>
        <v/>
      </c>
      <c r="AD269" s="40" t="str">
        <f t="shared" si="116"/>
        <v/>
      </c>
      <c r="AE269" s="130" t="str">
        <f t="shared" si="117"/>
        <v/>
      </c>
      <c r="AF269" s="131" t="str">
        <f t="shared" si="118"/>
        <v/>
      </c>
      <c r="AG269" s="40" t="str">
        <f t="shared" si="119"/>
        <v/>
      </c>
      <c r="AH269" s="37" t="str">
        <f t="shared" si="120"/>
        <v/>
      </c>
      <c r="AI269" s="37" t="str">
        <f t="shared" si="121"/>
        <v/>
      </c>
      <c r="AJ269" s="52" t="str">
        <f t="shared" si="122"/>
        <v>SEM DADOS</v>
      </c>
      <c r="AK269" s="145" t="str">
        <f t="shared" si="126"/>
        <v xml:space="preserve"> LINGUA ESPANHOLA</v>
      </c>
      <c r="AL269" s="159">
        <f t="shared" si="123"/>
        <v>0</v>
      </c>
      <c r="AM269" s="141" t="str">
        <f t="shared" si="124"/>
        <v>Sem Dados</v>
      </c>
      <c r="AN269" s="141" t="str">
        <f t="shared" si="127"/>
        <v>0 Sem Dados</v>
      </c>
    </row>
    <row r="270" spans="1:40" ht="15.75" x14ac:dyDescent="0.25">
      <c r="A270" s="36" t="str">
        <f t="shared" si="89"/>
        <v/>
      </c>
      <c r="B270" s="129" t="s">
        <v>123</v>
      </c>
      <c r="C270" s="37" t="str">
        <f t="shared" si="90"/>
        <v xml:space="preserve"> LINGUA ESPANHOLA</v>
      </c>
      <c r="D270" s="129" t="str">
        <f t="shared" si="91"/>
        <v>SEM DADOS</v>
      </c>
      <c r="E270" s="37" t="str">
        <f t="shared" si="92"/>
        <v>SEM DADOS</v>
      </c>
      <c r="F270" s="37" t="str">
        <f t="shared" si="93"/>
        <v>SEM DADOS</v>
      </c>
      <c r="G270" s="37" t="str">
        <f t="shared" si="94"/>
        <v>SEM DADOS</v>
      </c>
      <c r="H270" s="37" t="str">
        <f t="shared" si="95"/>
        <v>SEM DADOS</v>
      </c>
      <c r="I270" s="37" t="str">
        <f t="shared" si="96"/>
        <v>SEM DADOS</v>
      </c>
      <c r="J270" s="37" t="str">
        <f t="shared" si="97"/>
        <v>SEM DADOS</v>
      </c>
      <c r="K270" s="37" t="str">
        <f t="shared" si="98"/>
        <v>SEM DADOS</v>
      </c>
      <c r="L270" s="37" t="str">
        <f t="shared" si="125"/>
        <v>90% de las partículas deben estar entre  y  HRC</v>
      </c>
      <c r="M270" s="130" t="str">
        <f t="shared" si="99"/>
        <v/>
      </c>
      <c r="N270" s="131" t="str">
        <f t="shared" si="100"/>
        <v/>
      </c>
      <c r="O270" s="40" t="str">
        <f t="shared" si="101"/>
        <v/>
      </c>
      <c r="P270" s="130" t="str">
        <f t="shared" si="102"/>
        <v/>
      </c>
      <c r="Q270" s="131" t="str">
        <f t="shared" si="103"/>
        <v/>
      </c>
      <c r="R270" s="40" t="str">
        <f t="shared" si="104"/>
        <v/>
      </c>
      <c r="S270" s="130" t="str">
        <f t="shared" si="105"/>
        <v/>
      </c>
      <c r="T270" s="131" t="str">
        <f t="shared" si="106"/>
        <v/>
      </c>
      <c r="U270" s="40" t="str">
        <f t="shared" si="107"/>
        <v/>
      </c>
      <c r="V270" s="130" t="str">
        <f t="shared" si="108"/>
        <v/>
      </c>
      <c r="W270" s="131" t="str">
        <f t="shared" si="109"/>
        <v/>
      </c>
      <c r="X270" s="40" t="str">
        <f t="shared" si="110"/>
        <v/>
      </c>
      <c r="Y270" s="130" t="str">
        <f t="shared" si="111"/>
        <v/>
      </c>
      <c r="Z270" s="131" t="str">
        <f t="shared" si="112"/>
        <v/>
      </c>
      <c r="AA270" s="40" t="str">
        <f t="shared" si="113"/>
        <v/>
      </c>
      <c r="AB270" s="130" t="str">
        <f t="shared" si="114"/>
        <v/>
      </c>
      <c r="AC270" s="131" t="str">
        <f t="shared" si="115"/>
        <v/>
      </c>
      <c r="AD270" s="40" t="str">
        <f t="shared" si="116"/>
        <v/>
      </c>
      <c r="AE270" s="130" t="str">
        <f t="shared" si="117"/>
        <v/>
      </c>
      <c r="AF270" s="131" t="str">
        <f t="shared" si="118"/>
        <v/>
      </c>
      <c r="AG270" s="40" t="str">
        <f t="shared" si="119"/>
        <v/>
      </c>
      <c r="AH270" s="37" t="str">
        <f t="shared" si="120"/>
        <v/>
      </c>
      <c r="AI270" s="37" t="str">
        <f t="shared" si="121"/>
        <v/>
      </c>
      <c r="AJ270" s="52" t="str">
        <f t="shared" si="122"/>
        <v>SEM DADOS</v>
      </c>
      <c r="AK270" s="145" t="str">
        <f t="shared" si="126"/>
        <v xml:space="preserve"> LINGUA ESPANHOLA</v>
      </c>
      <c r="AL270" s="159">
        <f t="shared" si="123"/>
        <v>0</v>
      </c>
      <c r="AM270" s="141" t="str">
        <f t="shared" si="124"/>
        <v>Sem Dados</v>
      </c>
      <c r="AN270" s="141" t="str">
        <f t="shared" si="127"/>
        <v>0 Sem Dados</v>
      </c>
    </row>
    <row r="271" spans="1:40" ht="15.75" x14ac:dyDescent="0.25">
      <c r="A271" s="36" t="str">
        <f t="shared" si="89"/>
        <v/>
      </c>
      <c r="B271" s="129" t="s">
        <v>123</v>
      </c>
      <c r="C271" s="37" t="str">
        <f t="shared" si="90"/>
        <v xml:space="preserve"> LINGUA ESPANHOLA</v>
      </c>
      <c r="D271" s="129" t="str">
        <f t="shared" si="91"/>
        <v>SEM DADOS</v>
      </c>
      <c r="E271" s="37" t="str">
        <f t="shared" si="92"/>
        <v>SEM DADOS</v>
      </c>
      <c r="F271" s="37" t="str">
        <f t="shared" si="93"/>
        <v>SEM DADOS</v>
      </c>
      <c r="G271" s="37" t="str">
        <f t="shared" si="94"/>
        <v>SEM DADOS</v>
      </c>
      <c r="H271" s="37" t="str">
        <f t="shared" si="95"/>
        <v>SEM DADOS</v>
      </c>
      <c r="I271" s="37" t="str">
        <f t="shared" si="96"/>
        <v>SEM DADOS</v>
      </c>
      <c r="J271" s="37" t="str">
        <f t="shared" si="97"/>
        <v>SEM DADOS</v>
      </c>
      <c r="K271" s="37" t="str">
        <f t="shared" si="98"/>
        <v>SEM DADOS</v>
      </c>
      <c r="L271" s="37" t="str">
        <f t="shared" si="125"/>
        <v>90% de las partículas deben estar entre  y  HRC</v>
      </c>
      <c r="M271" s="130" t="str">
        <f t="shared" si="99"/>
        <v/>
      </c>
      <c r="N271" s="131" t="str">
        <f t="shared" si="100"/>
        <v/>
      </c>
      <c r="O271" s="40" t="str">
        <f t="shared" si="101"/>
        <v/>
      </c>
      <c r="P271" s="130" t="str">
        <f t="shared" si="102"/>
        <v/>
      </c>
      <c r="Q271" s="131" t="str">
        <f t="shared" si="103"/>
        <v/>
      </c>
      <c r="R271" s="40" t="str">
        <f t="shared" si="104"/>
        <v/>
      </c>
      <c r="S271" s="130" t="str">
        <f t="shared" si="105"/>
        <v/>
      </c>
      <c r="T271" s="131" t="str">
        <f t="shared" si="106"/>
        <v/>
      </c>
      <c r="U271" s="40" t="str">
        <f t="shared" si="107"/>
        <v/>
      </c>
      <c r="V271" s="130" t="str">
        <f t="shared" si="108"/>
        <v/>
      </c>
      <c r="W271" s="131" t="str">
        <f t="shared" si="109"/>
        <v/>
      </c>
      <c r="X271" s="40" t="str">
        <f t="shared" si="110"/>
        <v/>
      </c>
      <c r="Y271" s="130" t="str">
        <f t="shared" si="111"/>
        <v/>
      </c>
      <c r="Z271" s="131" t="str">
        <f t="shared" si="112"/>
        <v/>
      </c>
      <c r="AA271" s="40" t="str">
        <f t="shared" si="113"/>
        <v/>
      </c>
      <c r="AB271" s="130" t="str">
        <f t="shared" si="114"/>
        <v/>
      </c>
      <c r="AC271" s="131" t="str">
        <f t="shared" si="115"/>
        <v/>
      </c>
      <c r="AD271" s="40" t="str">
        <f t="shared" si="116"/>
        <v/>
      </c>
      <c r="AE271" s="130" t="str">
        <f t="shared" si="117"/>
        <v/>
      </c>
      <c r="AF271" s="131" t="str">
        <f t="shared" si="118"/>
        <v/>
      </c>
      <c r="AG271" s="40" t="str">
        <f t="shared" si="119"/>
        <v/>
      </c>
      <c r="AH271" s="37" t="str">
        <f t="shared" si="120"/>
        <v/>
      </c>
      <c r="AI271" s="37" t="str">
        <f t="shared" si="121"/>
        <v/>
      </c>
      <c r="AJ271" s="52" t="str">
        <f t="shared" si="122"/>
        <v>SEM DADOS</v>
      </c>
      <c r="AK271" s="145" t="str">
        <f t="shared" si="126"/>
        <v xml:space="preserve"> LINGUA ESPANHOLA</v>
      </c>
      <c r="AL271" s="159">
        <f t="shared" si="123"/>
        <v>0</v>
      </c>
      <c r="AM271" s="141" t="str">
        <f t="shared" si="124"/>
        <v>Sem Dados</v>
      </c>
      <c r="AN271" s="141" t="str">
        <f t="shared" si="127"/>
        <v>0 Sem Dados</v>
      </c>
    </row>
    <row r="272" spans="1:40" ht="15.75" x14ac:dyDescent="0.25">
      <c r="A272" s="36" t="str">
        <f t="shared" si="89"/>
        <v/>
      </c>
      <c r="B272" s="129" t="s">
        <v>123</v>
      </c>
      <c r="C272" s="37" t="str">
        <f t="shared" si="90"/>
        <v xml:space="preserve"> LINGUA ESPANHOLA</v>
      </c>
      <c r="D272" s="129" t="str">
        <f t="shared" si="91"/>
        <v>SEM DADOS</v>
      </c>
      <c r="E272" s="37" t="str">
        <f t="shared" si="92"/>
        <v>SEM DADOS</v>
      </c>
      <c r="F272" s="37" t="str">
        <f t="shared" si="93"/>
        <v>SEM DADOS</v>
      </c>
      <c r="G272" s="37" t="str">
        <f t="shared" si="94"/>
        <v>SEM DADOS</v>
      </c>
      <c r="H272" s="37" t="str">
        <f t="shared" si="95"/>
        <v>SEM DADOS</v>
      </c>
      <c r="I272" s="37" t="str">
        <f t="shared" si="96"/>
        <v>SEM DADOS</v>
      </c>
      <c r="J272" s="37" t="str">
        <f t="shared" si="97"/>
        <v>SEM DADOS</v>
      </c>
      <c r="K272" s="37" t="str">
        <f t="shared" si="98"/>
        <v>SEM DADOS</v>
      </c>
      <c r="L272" s="37" t="str">
        <f t="shared" si="125"/>
        <v>90% de las partículas deben estar entre  y  HRC</v>
      </c>
      <c r="M272" s="130" t="str">
        <f t="shared" si="99"/>
        <v/>
      </c>
      <c r="N272" s="131" t="str">
        <f t="shared" si="100"/>
        <v/>
      </c>
      <c r="O272" s="40" t="str">
        <f t="shared" si="101"/>
        <v/>
      </c>
      <c r="P272" s="130" t="str">
        <f t="shared" si="102"/>
        <v/>
      </c>
      <c r="Q272" s="131" t="str">
        <f t="shared" si="103"/>
        <v/>
      </c>
      <c r="R272" s="40" t="str">
        <f t="shared" si="104"/>
        <v/>
      </c>
      <c r="S272" s="130" t="str">
        <f t="shared" si="105"/>
        <v/>
      </c>
      <c r="T272" s="131" t="str">
        <f t="shared" si="106"/>
        <v/>
      </c>
      <c r="U272" s="40" t="str">
        <f t="shared" si="107"/>
        <v/>
      </c>
      <c r="V272" s="130" t="str">
        <f t="shared" si="108"/>
        <v/>
      </c>
      <c r="W272" s="131" t="str">
        <f t="shared" si="109"/>
        <v/>
      </c>
      <c r="X272" s="40" t="str">
        <f t="shared" si="110"/>
        <v/>
      </c>
      <c r="Y272" s="130" t="str">
        <f t="shared" si="111"/>
        <v/>
      </c>
      <c r="Z272" s="131" t="str">
        <f t="shared" si="112"/>
        <v/>
      </c>
      <c r="AA272" s="40" t="str">
        <f t="shared" si="113"/>
        <v/>
      </c>
      <c r="AB272" s="130" t="str">
        <f t="shared" si="114"/>
        <v/>
      </c>
      <c r="AC272" s="131" t="str">
        <f t="shared" si="115"/>
        <v/>
      </c>
      <c r="AD272" s="40" t="str">
        <f t="shared" si="116"/>
        <v/>
      </c>
      <c r="AE272" s="130" t="str">
        <f t="shared" si="117"/>
        <v/>
      </c>
      <c r="AF272" s="131" t="str">
        <f t="shared" si="118"/>
        <v/>
      </c>
      <c r="AG272" s="40" t="str">
        <f t="shared" si="119"/>
        <v/>
      </c>
      <c r="AH272" s="37" t="str">
        <f t="shared" si="120"/>
        <v/>
      </c>
      <c r="AI272" s="37" t="str">
        <f t="shared" si="121"/>
        <v/>
      </c>
      <c r="AJ272" s="52" t="str">
        <f t="shared" si="122"/>
        <v>SEM DADOS</v>
      </c>
      <c r="AK272" s="145" t="str">
        <f t="shared" si="126"/>
        <v xml:space="preserve"> LINGUA ESPANHOLA</v>
      </c>
      <c r="AL272" s="159">
        <f t="shared" si="123"/>
        <v>0</v>
      </c>
      <c r="AM272" s="141" t="str">
        <f t="shared" si="124"/>
        <v>Sem Dados</v>
      </c>
      <c r="AN272" s="141" t="str">
        <f t="shared" si="127"/>
        <v>0 Sem Dados</v>
      </c>
    </row>
    <row r="273" spans="1:40" ht="15.75" x14ac:dyDescent="0.25">
      <c r="A273" s="36" t="str">
        <f t="shared" si="89"/>
        <v/>
      </c>
      <c r="B273" s="129" t="s">
        <v>123</v>
      </c>
      <c r="C273" s="37" t="str">
        <f t="shared" si="90"/>
        <v xml:space="preserve"> LINGUA ESPANHOLA</v>
      </c>
      <c r="D273" s="129" t="str">
        <f t="shared" si="91"/>
        <v>SEM DADOS</v>
      </c>
      <c r="E273" s="37" t="str">
        <f t="shared" si="92"/>
        <v>SEM DADOS</v>
      </c>
      <c r="F273" s="37" t="str">
        <f t="shared" si="93"/>
        <v>SEM DADOS</v>
      </c>
      <c r="G273" s="37" t="str">
        <f t="shared" si="94"/>
        <v>SEM DADOS</v>
      </c>
      <c r="H273" s="37" t="str">
        <f t="shared" si="95"/>
        <v>SEM DADOS</v>
      </c>
      <c r="I273" s="37" t="str">
        <f t="shared" si="96"/>
        <v>SEM DADOS</v>
      </c>
      <c r="J273" s="37" t="str">
        <f t="shared" si="97"/>
        <v>SEM DADOS</v>
      </c>
      <c r="K273" s="37" t="str">
        <f t="shared" si="98"/>
        <v>SEM DADOS</v>
      </c>
      <c r="L273" s="37" t="str">
        <f t="shared" si="125"/>
        <v>90% de las partículas deben estar entre  y  HRC</v>
      </c>
      <c r="M273" s="130" t="str">
        <f t="shared" si="99"/>
        <v/>
      </c>
      <c r="N273" s="131" t="str">
        <f t="shared" si="100"/>
        <v/>
      </c>
      <c r="O273" s="40" t="str">
        <f t="shared" si="101"/>
        <v/>
      </c>
      <c r="P273" s="130" t="str">
        <f t="shared" si="102"/>
        <v/>
      </c>
      <c r="Q273" s="131" t="str">
        <f t="shared" si="103"/>
        <v/>
      </c>
      <c r="R273" s="40" t="str">
        <f t="shared" si="104"/>
        <v/>
      </c>
      <c r="S273" s="130" t="str">
        <f t="shared" si="105"/>
        <v/>
      </c>
      <c r="T273" s="131" t="str">
        <f t="shared" si="106"/>
        <v/>
      </c>
      <c r="U273" s="40" t="str">
        <f t="shared" si="107"/>
        <v/>
      </c>
      <c r="V273" s="130" t="str">
        <f t="shared" si="108"/>
        <v/>
      </c>
      <c r="W273" s="131" t="str">
        <f t="shared" si="109"/>
        <v/>
      </c>
      <c r="X273" s="40" t="str">
        <f t="shared" si="110"/>
        <v/>
      </c>
      <c r="Y273" s="130" t="str">
        <f t="shared" si="111"/>
        <v/>
      </c>
      <c r="Z273" s="131" t="str">
        <f t="shared" si="112"/>
        <v/>
      </c>
      <c r="AA273" s="40" t="str">
        <f t="shared" si="113"/>
        <v/>
      </c>
      <c r="AB273" s="130" t="str">
        <f t="shared" si="114"/>
        <v/>
      </c>
      <c r="AC273" s="131" t="str">
        <f t="shared" si="115"/>
        <v/>
      </c>
      <c r="AD273" s="40" t="str">
        <f t="shared" si="116"/>
        <v/>
      </c>
      <c r="AE273" s="130" t="str">
        <f t="shared" si="117"/>
        <v/>
      </c>
      <c r="AF273" s="131" t="str">
        <f t="shared" si="118"/>
        <v/>
      </c>
      <c r="AG273" s="40" t="str">
        <f t="shared" si="119"/>
        <v/>
      </c>
      <c r="AH273" s="37" t="str">
        <f t="shared" si="120"/>
        <v/>
      </c>
      <c r="AI273" s="37" t="str">
        <f t="shared" si="121"/>
        <v/>
      </c>
      <c r="AJ273" s="52" t="str">
        <f t="shared" si="122"/>
        <v>SEM DADOS</v>
      </c>
      <c r="AK273" s="145" t="str">
        <f t="shared" si="126"/>
        <v xml:space="preserve"> LINGUA ESPANHOLA</v>
      </c>
      <c r="AL273" s="159">
        <f t="shared" si="123"/>
        <v>0</v>
      </c>
      <c r="AM273" s="141" t="str">
        <f t="shared" si="124"/>
        <v>Sem Dados</v>
      </c>
      <c r="AN273" s="141" t="str">
        <f t="shared" si="127"/>
        <v>0 Sem Dados</v>
      </c>
    </row>
    <row r="274" spans="1:40" ht="15.75" x14ac:dyDescent="0.25">
      <c r="A274" s="36" t="str">
        <f t="shared" si="89"/>
        <v/>
      </c>
      <c r="B274" s="129" t="s">
        <v>123</v>
      </c>
      <c r="C274" s="37" t="str">
        <f t="shared" si="90"/>
        <v xml:space="preserve"> LINGUA ESPANHOLA</v>
      </c>
      <c r="D274" s="129" t="str">
        <f t="shared" si="91"/>
        <v>SEM DADOS</v>
      </c>
      <c r="E274" s="37" t="str">
        <f t="shared" si="92"/>
        <v>SEM DADOS</v>
      </c>
      <c r="F274" s="37" t="str">
        <f t="shared" si="93"/>
        <v>SEM DADOS</v>
      </c>
      <c r="G274" s="37" t="str">
        <f t="shared" si="94"/>
        <v>SEM DADOS</v>
      </c>
      <c r="H274" s="37" t="str">
        <f t="shared" si="95"/>
        <v>SEM DADOS</v>
      </c>
      <c r="I274" s="37" t="str">
        <f t="shared" si="96"/>
        <v>SEM DADOS</v>
      </c>
      <c r="J274" s="37" t="str">
        <f t="shared" si="97"/>
        <v>SEM DADOS</v>
      </c>
      <c r="K274" s="37" t="str">
        <f t="shared" si="98"/>
        <v>SEM DADOS</v>
      </c>
      <c r="L274" s="37" t="str">
        <f t="shared" si="125"/>
        <v>90% de las partículas deben estar entre  y  HRC</v>
      </c>
      <c r="M274" s="130" t="str">
        <f t="shared" si="99"/>
        <v/>
      </c>
      <c r="N274" s="131" t="str">
        <f t="shared" si="100"/>
        <v/>
      </c>
      <c r="O274" s="40" t="str">
        <f t="shared" si="101"/>
        <v/>
      </c>
      <c r="P274" s="130" t="str">
        <f t="shared" si="102"/>
        <v/>
      </c>
      <c r="Q274" s="131" t="str">
        <f t="shared" si="103"/>
        <v/>
      </c>
      <c r="R274" s="40" t="str">
        <f t="shared" si="104"/>
        <v/>
      </c>
      <c r="S274" s="130" t="str">
        <f t="shared" si="105"/>
        <v/>
      </c>
      <c r="T274" s="131" t="str">
        <f t="shared" si="106"/>
        <v/>
      </c>
      <c r="U274" s="40" t="str">
        <f t="shared" si="107"/>
        <v/>
      </c>
      <c r="V274" s="130" t="str">
        <f t="shared" si="108"/>
        <v/>
      </c>
      <c r="W274" s="131" t="str">
        <f t="shared" si="109"/>
        <v/>
      </c>
      <c r="X274" s="40" t="str">
        <f t="shared" si="110"/>
        <v/>
      </c>
      <c r="Y274" s="130" t="str">
        <f t="shared" si="111"/>
        <v/>
      </c>
      <c r="Z274" s="131" t="str">
        <f t="shared" si="112"/>
        <v/>
      </c>
      <c r="AA274" s="40" t="str">
        <f t="shared" si="113"/>
        <v/>
      </c>
      <c r="AB274" s="130" t="str">
        <f t="shared" si="114"/>
        <v/>
      </c>
      <c r="AC274" s="131" t="str">
        <f t="shared" si="115"/>
        <v/>
      </c>
      <c r="AD274" s="40" t="str">
        <f t="shared" si="116"/>
        <v/>
      </c>
      <c r="AE274" s="130" t="str">
        <f t="shared" si="117"/>
        <v/>
      </c>
      <c r="AF274" s="131" t="str">
        <f t="shared" si="118"/>
        <v/>
      </c>
      <c r="AG274" s="40" t="str">
        <f t="shared" si="119"/>
        <v/>
      </c>
      <c r="AH274" s="37" t="str">
        <f t="shared" si="120"/>
        <v/>
      </c>
      <c r="AI274" s="37" t="str">
        <f t="shared" si="121"/>
        <v/>
      </c>
      <c r="AJ274" s="52" t="str">
        <f t="shared" si="122"/>
        <v>SEM DADOS</v>
      </c>
      <c r="AK274" s="145" t="str">
        <f t="shared" si="126"/>
        <v xml:space="preserve"> LINGUA ESPANHOLA</v>
      </c>
      <c r="AL274" s="159">
        <f t="shared" si="123"/>
        <v>0</v>
      </c>
      <c r="AM274" s="141" t="str">
        <f t="shared" si="124"/>
        <v>Sem Dados</v>
      </c>
      <c r="AN274" s="141" t="str">
        <f t="shared" si="127"/>
        <v>0 Sem Dados</v>
      </c>
    </row>
    <row r="275" spans="1:40" ht="15.75" x14ac:dyDescent="0.25">
      <c r="A275" s="36" t="str">
        <f t="shared" si="89"/>
        <v/>
      </c>
      <c r="B275" s="129" t="s">
        <v>123</v>
      </c>
      <c r="C275" s="37" t="str">
        <f t="shared" si="90"/>
        <v xml:space="preserve"> LINGUA ESPANHOLA</v>
      </c>
      <c r="D275" s="129" t="str">
        <f t="shared" si="91"/>
        <v>SEM DADOS</v>
      </c>
      <c r="E275" s="37" t="str">
        <f t="shared" si="92"/>
        <v>SEM DADOS</v>
      </c>
      <c r="F275" s="37" t="str">
        <f t="shared" si="93"/>
        <v>SEM DADOS</v>
      </c>
      <c r="G275" s="37" t="str">
        <f t="shared" si="94"/>
        <v>SEM DADOS</v>
      </c>
      <c r="H275" s="37" t="str">
        <f t="shared" si="95"/>
        <v>SEM DADOS</v>
      </c>
      <c r="I275" s="37" t="str">
        <f t="shared" si="96"/>
        <v>SEM DADOS</v>
      </c>
      <c r="J275" s="37" t="str">
        <f t="shared" si="97"/>
        <v>SEM DADOS</v>
      </c>
      <c r="K275" s="37" t="str">
        <f t="shared" si="98"/>
        <v>SEM DADOS</v>
      </c>
      <c r="L275" s="37" t="str">
        <f t="shared" si="125"/>
        <v>90% de las partículas deben estar entre  y  HRC</v>
      </c>
      <c r="M275" s="130" t="str">
        <f t="shared" si="99"/>
        <v/>
      </c>
      <c r="N275" s="131" t="str">
        <f t="shared" si="100"/>
        <v/>
      </c>
      <c r="O275" s="40" t="str">
        <f t="shared" si="101"/>
        <v/>
      </c>
      <c r="P275" s="130" t="str">
        <f t="shared" si="102"/>
        <v/>
      </c>
      <c r="Q275" s="131" t="str">
        <f t="shared" si="103"/>
        <v/>
      </c>
      <c r="R275" s="40" t="str">
        <f t="shared" si="104"/>
        <v/>
      </c>
      <c r="S275" s="130" t="str">
        <f t="shared" si="105"/>
        <v/>
      </c>
      <c r="T275" s="131" t="str">
        <f t="shared" si="106"/>
        <v/>
      </c>
      <c r="U275" s="40" t="str">
        <f t="shared" si="107"/>
        <v/>
      </c>
      <c r="V275" s="130" t="str">
        <f t="shared" si="108"/>
        <v/>
      </c>
      <c r="W275" s="131" t="str">
        <f t="shared" si="109"/>
        <v/>
      </c>
      <c r="X275" s="40" t="str">
        <f t="shared" si="110"/>
        <v/>
      </c>
      <c r="Y275" s="130" t="str">
        <f t="shared" si="111"/>
        <v/>
      </c>
      <c r="Z275" s="131" t="str">
        <f t="shared" si="112"/>
        <v/>
      </c>
      <c r="AA275" s="40" t="str">
        <f t="shared" si="113"/>
        <v/>
      </c>
      <c r="AB275" s="130" t="str">
        <f t="shared" si="114"/>
        <v/>
      </c>
      <c r="AC275" s="131" t="str">
        <f t="shared" si="115"/>
        <v/>
      </c>
      <c r="AD275" s="40" t="str">
        <f t="shared" si="116"/>
        <v/>
      </c>
      <c r="AE275" s="130" t="str">
        <f t="shared" si="117"/>
        <v/>
      </c>
      <c r="AF275" s="131" t="str">
        <f t="shared" si="118"/>
        <v/>
      </c>
      <c r="AG275" s="40" t="str">
        <f t="shared" si="119"/>
        <v/>
      </c>
      <c r="AH275" s="37" t="str">
        <f t="shared" si="120"/>
        <v/>
      </c>
      <c r="AI275" s="37" t="str">
        <f t="shared" si="121"/>
        <v/>
      </c>
      <c r="AJ275" s="52" t="str">
        <f t="shared" si="122"/>
        <v>SEM DADOS</v>
      </c>
      <c r="AK275" s="145" t="str">
        <f t="shared" si="126"/>
        <v xml:space="preserve"> LINGUA ESPANHOLA</v>
      </c>
      <c r="AL275" s="159">
        <f t="shared" si="123"/>
        <v>0</v>
      </c>
      <c r="AM275" s="141" t="str">
        <f t="shared" si="124"/>
        <v>Sem Dados</v>
      </c>
      <c r="AN275" s="141" t="str">
        <f t="shared" si="127"/>
        <v>0 Sem Dados</v>
      </c>
    </row>
    <row r="276" spans="1:40" ht="15.75" x14ac:dyDescent="0.25">
      <c r="A276" s="36" t="str">
        <f t="shared" si="89"/>
        <v/>
      </c>
      <c r="B276" s="129" t="s">
        <v>123</v>
      </c>
      <c r="C276" s="37" t="str">
        <f t="shared" si="90"/>
        <v xml:space="preserve"> LINGUA ESPANHOLA</v>
      </c>
      <c r="D276" s="129" t="str">
        <f t="shared" si="91"/>
        <v>SEM DADOS</v>
      </c>
      <c r="E276" s="37" t="str">
        <f t="shared" si="92"/>
        <v>SEM DADOS</v>
      </c>
      <c r="F276" s="37" t="str">
        <f t="shared" si="93"/>
        <v>SEM DADOS</v>
      </c>
      <c r="G276" s="37" t="str">
        <f t="shared" si="94"/>
        <v>SEM DADOS</v>
      </c>
      <c r="H276" s="37" t="str">
        <f t="shared" si="95"/>
        <v>SEM DADOS</v>
      </c>
      <c r="I276" s="37" t="str">
        <f t="shared" si="96"/>
        <v>SEM DADOS</v>
      </c>
      <c r="J276" s="37" t="str">
        <f t="shared" si="97"/>
        <v>SEM DADOS</v>
      </c>
      <c r="K276" s="37" t="str">
        <f t="shared" si="98"/>
        <v>SEM DADOS</v>
      </c>
      <c r="L276" s="37" t="str">
        <f t="shared" si="125"/>
        <v>90% de las partículas deben estar entre  y  HRC</v>
      </c>
      <c r="M276" s="130" t="str">
        <f t="shared" si="99"/>
        <v/>
      </c>
      <c r="N276" s="131" t="str">
        <f t="shared" si="100"/>
        <v/>
      </c>
      <c r="O276" s="40" t="str">
        <f t="shared" si="101"/>
        <v/>
      </c>
      <c r="P276" s="130" t="str">
        <f t="shared" si="102"/>
        <v/>
      </c>
      <c r="Q276" s="131" t="str">
        <f t="shared" si="103"/>
        <v/>
      </c>
      <c r="R276" s="40" t="str">
        <f t="shared" si="104"/>
        <v/>
      </c>
      <c r="S276" s="130" t="str">
        <f t="shared" si="105"/>
        <v/>
      </c>
      <c r="T276" s="131" t="str">
        <f t="shared" si="106"/>
        <v/>
      </c>
      <c r="U276" s="40" t="str">
        <f t="shared" si="107"/>
        <v/>
      </c>
      <c r="V276" s="130" t="str">
        <f t="shared" si="108"/>
        <v/>
      </c>
      <c r="W276" s="131" t="str">
        <f t="shared" si="109"/>
        <v/>
      </c>
      <c r="X276" s="40" t="str">
        <f t="shared" si="110"/>
        <v/>
      </c>
      <c r="Y276" s="130" t="str">
        <f t="shared" si="111"/>
        <v/>
      </c>
      <c r="Z276" s="131" t="str">
        <f t="shared" si="112"/>
        <v/>
      </c>
      <c r="AA276" s="40" t="str">
        <f t="shared" si="113"/>
        <v/>
      </c>
      <c r="AB276" s="130" t="str">
        <f t="shared" si="114"/>
        <v/>
      </c>
      <c r="AC276" s="131" t="str">
        <f t="shared" si="115"/>
        <v/>
      </c>
      <c r="AD276" s="40" t="str">
        <f t="shared" si="116"/>
        <v/>
      </c>
      <c r="AE276" s="130" t="str">
        <f t="shared" si="117"/>
        <v/>
      </c>
      <c r="AF276" s="131" t="str">
        <f t="shared" si="118"/>
        <v/>
      </c>
      <c r="AG276" s="40" t="str">
        <f t="shared" si="119"/>
        <v/>
      </c>
      <c r="AH276" s="37" t="str">
        <f t="shared" si="120"/>
        <v/>
      </c>
      <c r="AI276" s="37" t="str">
        <f t="shared" si="121"/>
        <v/>
      </c>
      <c r="AJ276" s="52" t="str">
        <f t="shared" si="122"/>
        <v>SEM DADOS</v>
      </c>
      <c r="AK276" s="145" t="str">
        <f t="shared" si="126"/>
        <v xml:space="preserve"> LINGUA ESPANHOLA</v>
      </c>
      <c r="AL276" s="159">
        <f t="shared" si="123"/>
        <v>0</v>
      </c>
      <c r="AM276" s="141" t="str">
        <f t="shared" si="124"/>
        <v>Sem Dados</v>
      </c>
      <c r="AN276" s="141" t="str">
        <f t="shared" si="127"/>
        <v>0 Sem Dados</v>
      </c>
    </row>
    <row r="277" spans="1:40" ht="15.75" x14ac:dyDescent="0.25">
      <c r="A277" s="36" t="str">
        <f t="shared" si="89"/>
        <v/>
      </c>
      <c r="B277" s="129" t="s">
        <v>123</v>
      </c>
      <c r="C277" s="37" t="str">
        <f t="shared" si="90"/>
        <v xml:space="preserve"> LINGUA ESPANHOLA</v>
      </c>
      <c r="D277" s="129" t="str">
        <f t="shared" si="91"/>
        <v>SEM DADOS</v>
      </c>
      <c r="E277" s="37" t="str">
        <f t="shared" si="92"/>
        <v>SEM DADOS</v>
      </c>
      <c r="F277" s="37" t="str">
        <f t="shared" si="93"/>
        <v>SEM DADOS</v>
      </c>
      <c r="G277" s="37" t="str">
        <f t="shared" si="94"/>
        <v>SEM DADOS</v>
      </c>
      <c r="H277" s="37" t="str">
        <f t="shared" si="95"/>
        <v>SEM DADOS</v>
      </c>
      <c r="I277" s="37" t="str">
        <f t="shared" si="96"/>
        <v>SEM DADOS</v>
      </c>
      <c r="J277" s="37" t="str">
        <f t="shared" si="97"/>
        <v>SEM DADOS</v>
      </c>
      <c r="K277" s="37" t="str">
        <f t="shared" si="98"/>
        <v>SEM DADOS</v>
      </c>
      <c r="L277" s="37" t="str">
        <f t="shared" si="125"/>
        <v>90% de las partículas deben estar entre  y  HRC</v>
      </c>
      <c r="M277" s="130" t="str">
        <f t="shared" si="99"/>
        <v/>
      </c>
      <c r="N277" s="131" t="str">
        <f t="shared" si="100"/>
        <v/>
      </c>
      <c r="O277" s="40" t="str">
        <f t="shared" si="101"/>
        <v/>
      </c>
      <c r="P277" s="130" t="str">
        <f t="shared" si="102"/>
        <v/>
      </c>
      <c r="Q277" s="131" t="str">
        <f t="shared" si="103"/>
        <v/>
      </c>
      <c r="R277" s="40" t="str">
        <f t="shared" si="104"/>
        <v/>
      </c>
      <c r="S277" s="130" t="str">
        <f t="shared" si="105"/>
        <v/>
      </c>
      <c r="T277" s="131" t="str">
        <f t="shared" si="106"/>
        <v/>
      </c>
      <c r="U277" s="40" t="str">
        <f t="shared" si="107"/>
        <v/>
      </c>
      <c r="V277" s="130" t="str">
        <f t="shared" si="108"/>
        <v/>
      </c>
      <c r="W277" s="131" t="str">
        <f t="shared" si="109"/>
        <v/>
      </c>
      <c r="X277" s="40" t="str">
        <f t="shared" si="110"/>
        <v/>
      </c>
      <c r="Y277" s="130" t="str">
        <f t="shared" si="111"/>
        <v/>
      </c>
      <c r="Z277" s="131" t="str">
        <f t="shared" si="112"/>
        <v/>
      </c>
      <c r="AA277" s="40" t="str">
        <f t="shared" si="113"/>
        <v/>
      </c>
      <c r="AB277" s="130" t="str">
        <f t="shared" si="114"/>
        <v/>
      </c>
      <c r="AC277" s="131" t="str">
        <f t="shared" si="115"/>
        <v/>
      </c>
      <c r="AD277" s="40" t="str">
        <f t="shared" si="116"/>
        <v/>
      </c>
      <c r="AE277" s="130" t="str">
        <f t="shared" si="117"/>
        <v/>
      </c>
      <c r="AF277" s="131" t="str">
        <f t="shared" si="118"/>
        <v/>
      </c>
      <c r="AG277" s="40" t="str">
        <f t="shared" si="119"/>
        <v/>
      </c>
      <c r="AH277" s="37" t="str">
        <f t="shared" si="120"/>
        <v/>
      </c>
      <c r="AI277" s="37" t="str">
        <f t="shared" si="121"/>
        <v/>
      </c>
      <c r="AJ277" s="52" t="str">
        <f t="shared" si="122"/>
        <v>SEM DADOS</v>
      </c>
      <c r="AK277" s="145" t="str">
        <f t="shared" si="126"/>
        <v xml:space="preserve"> LINGUA ESPANHOLA</v>
      </c>
      <c r="AL277" s="159">
        <f t="shared" si="123"/>
        <v>0</v>
      </c>
      <c r="AM277" s="141" t="str">
        <f t="shared" si="124"/>
        <v>Sem Dados</v>
      </c>
      <c r="AN277" s="141" t="str">
        <f t="shared" si="127"/>
        <v>0 Sem Dados</v>
      </c>
    </row>
    <row r="278" spans="1:40" ht="15.75" x14ac:dyDescent="0.25">
      <c r="A278" s="36" t="str">
        <f t="shared" si="89"/>
        <v/>
      </c>
      <c r="B278" s="129" t="s">
        <v>123</v>
      </c>
      <c r="C278" s="37" t="str">
        <f t="shared" si="90"/>
        <v xml:space="preserve"> LINGUA ESPANHOLA</v>
      </c>
      <c r="D278" s="129" t="str">
        <f t="shared" si="91"/>
        <v>SEM DADOS</v>
      </c>
      <c r="E278" s="37" t="str">
        <f t="shared" si="92"/>
        <v>SEM DADOS</v>
      </c>
      <c r="F278" s="37" t="str">
        <f t="shared" si="93"/>
        <v>SEM DADOS</v>
      </c>
      <c r="G278" s="37" t="str">
        <f t="shared" si="94"/>
        <v>SEM DADOS</v>
      </c>
      <c r="H278" s="37" t="str">
        <f t="shared" si="95"/>
        <v>SEM DADOS</v>
      </c>
      <c r="I278" s="37" t="str">
        <f t="shared" si="96"/>
        <v>SEM DADOS</v>
      </c>
      <c r="J278" s="37" t="str">
        <f t="shared" si="97"/>
        <v>SEM DADOS</v>
      </c>
      <c r="K278" s="37" t="str">
        <f t="shared" si="98"/>
        <v>SEM DADOS</v>
      </c>
      <c r="L278" s="37" t="str">
        <f t="shared" si="125"/>
        <v>90% de las partículas deben estar entre  y  HRC</v>
      </c>
      <c r="M278" s="130" t="str">
        <f t="shared" si="99"/>
        <v/>
      </c>
      <c r="N278" s="131" t="str">
        <f t="shared" si="100"/>
        <v/>
      </c>
      <c r="O278" s="40" t="str">
        <f t="shared" si="101"/>
        <v/>
      </c>
      <c r="P278" s="130" t="str">
        <f t="shared" si="102"/>
        <v/>
      </c>
      <c r="Q278" s="131" t="str">
        <f t="shared" si="103"/>
        <v/>
      </c>
      <c r="R278" s="40" t="str">
        <f t="shared" si="104"/>
        <v/>
      </c>
      <c r="S278" s="130" t="str">
        <f t="shared" si="105"/>
        <v/>
      </c>
      <c r="T278" s="131" t="str">
        <f t="shared" si="106"/>
        <v/>
      </c>
      <c r="U278" s="40" t="str">
        <f t="shared" si="107"/>
        <v/>
      </c>
      <c r="V278" s="130" t="str">
        <f t="shared" si="108"/>
        <v/>
      </c>
      <c r="W278" s="131" t="str">
        <f t="shared" si="109"/>
        <v/>
      </c>
      <c r="X278" s="40" t="str">
        <f t="shared" si="110"/>
        <v/>
      </c>
      <c r="Y278" s="130" t="str">
        <f t="shared" si="111"/>
        <v/>
      </c>
      <c r="Z278" s="131" t="str">
        <f t="shared" si="112"/>
        <v/>
      </c>
      <c r="AA278" s="40" t="str">
        <f t="shared" si="113"/>
        <v/>
      </c>
      <c r="AB278" s="130" t="str">
        <f t="shared" si="114"/>
        <v/>
      </c>
      <c r="AC278" s="131" t="str">
        <f t="shared" si="115"/>
        <v/>
      </c>
      <c r="AD278" s="40" t="str">
        <f t="shared" si="116"/>
        <v/>
      </c>
      <c r="AE278" s="130" t="str">
        <f t="shared" si="117"/>
        <v/>
      </c>
      <c r="AF278" s="131" t="str">
        <f t="shared" si="118"/>
        <v/>
      </c>
      <c r="AG278" s="40" t="str">
        <f t="shared" si="119"/>
        <v/>
      </c>
      <c r="AH278" s="37" t="str">
        <f t="shared" si="120"/>
        <v/>
      </c>
      <c r="AI278" s="37" t="str">
        <f t="shared" si="121"/>
        <v/>
      </c>
      <c r="AJ278" s="52" t="str">
        <f t="shared" si="122"/>
        <v>SEM DADOS</v>
      </c>
      <c r="AK278" s="145" t="str">
        <f t="shared" si="126"/>
        <v xml:space="preserve"> LINGUA ESPANHOLA</v>
      </c>
      <c r="AL278" s="159">
        <f t="shared" si="123"/>
        <v>0</v>
      </c>
      <c r="AM278" s="141" t="str">
        <f t="shared" si="124"/>
        <v>Sem Dados</v>
      </c>
      <c r="AN278" s="141" t="str">
        <f t="shared" si="127"/>
        <v>0 Sem Dados</v>
      </c>
    </row>
    <row r="279" spans="1:40" ht="15.75" x14ac:dyDescent="0.25">
      <c r="A279" s="36" t="str">
        <f t="shared" si="89"/>
        <v/>
      </c>
      <c r="B279" s="129" t="s">
        <v>123</v>
      </c>
      <c r="C279" s="37" t="str">
        <f t="shared" si="90"/>
        <v xml:space="preserve"> LINGUA ESPANHOLA</v>
      </c>
      <c r="D279" s="129" t="str">
        <f t="shared" si="91"/>
        <v>SEM DADOS</v>
      </c>
      <c r="E279" s="37" t="str">
        <f t="shared" si="92"/>
        <v>SEM DADOS</v>
      </c>
      <c r="F279" s="37" t="str">
        <f t="shared" si="93"/>
        <v>SEM DADOS</v>
      </c>
      <c r="G279" s="37" t="str">
        <f t="shared" si="94"/>
        <v>SEM DADOS</v>
      </c>
      <c r="H279" s="37" t="str">
        <f t="shared" si="95"/>
        <v>SEM DADOS</v>
      </c>
      <c r="I279" s="37" t="str">
        <f t="shared" si="96"/>
        <v>SEM DADOS</v>
      </c>
      <c r="J279" s="37" t="str">
        <f t="shared" si="97"/>
        <v>SEM DADOS</v>
      </c>
      <c r="K279" s="37" t="str">
        <f t="shared" si="98"/>
        <v>SEM DADOS</v>
      </c>
      <c r="L279" s="37" t="str">
        <f t="shared" si="125"/>
        <v>90% de las partículas deben estar entre  y  HRC</v>
      </c>
      <c r="M279" s="130" t="str">
        <f t="shared" si="99"/>
        <v/>
      </c>
      <c r="N279" s="131" t="str">
        <f t="shared" si="100"/>
        <v/>
      </c>
      <c r="O279" s="40" t="str">
        <f t="shared" si="101"/>
        <v/>
      </c>
      <c r="P279" s="130" t="str">
        <f t="shared" si="102"/>
        <v/>
      </c>
      <c r="Q279" s="131" t="str">
        <f t="shared" si="103"/>
        <v/>
      </c>
      <c r="R279" s="40" t="str">
        <f t="shared" si="104"/>
        <v/>
      </c>
      <c r="S279" s="130" t="str">
        <f t="shared" si="105"/>
        <v/>
      </c>
      <c r="T279" s="131" t="str">
        <f t="shared" si="106"/>
        <v/>
      </c>
      <c r="U279" s="40" t="str">
        <f t="shared" si="107"/>
        <v/>
      </c>
      <c r="V279" s="130" t="str">
        <f t="shared" si="108"/>
        <v/>
      </c>
      <c r="W279" s="131" t="str">
        <f t="shared" si="109"/>
        <v/>
      </c>
      <c r="X279" s="40" t="str">
        <f t="shared" si="110"/>
        <v/>
      </c>
      <c r="Y279" s="130" t="str">
        <f t="shared" si="111"/>
        <v/>
      </c>
      <c r="Z279" s="131" t="str">
        <f t="shared" si="112"/>
        <v/>
      </c>
      <c r="AA279" s="40" t="str">
        <f t="shared" si="113"/>
        <v/>
      </c>
      <c r="AB279" s="130" t="str">
        <f t="shared" si="114"/>
        <v/>
      </c>
      <c r="AC279" s="131" t="str">
        <f t="shared" si="115"/>
        <v/>
      </c>
      <c r="AD279" s="40" t="str">
        <f t="shared" si="116"/>
        <v/>
      </c>
      <c r="AE279" s="130" t="str">
        <f t="shared" si="117"/>
        <v/>
      </c>
      <c r="AF279" s="131" t="str">
        <f t="shared" si="118"/>
        <v/>
      </c>
      <c r="AG279" s="40" t="str">
        <f t="shared" si="119"/>
        <v/>
      </c>
      <c r="AH279" s="37" t="str">
        <f t="shared" si="120"/>
        <v/>
      </c>
      <c r="AI279" s="37" t="str">
        <f t="shared" si="121"/>
        <v/>
      </c>
      <c r="AJ279" s="52" t="str">
        <f t="shared" si="122"/>
        <v>SEM DADOS</v>
      </c>
      <c r="AK279" s="145" t="str">
        <f t="shared" si="126"/>
        <v xml:space="preserve"> LINGUA ESPANHOLA</v>
      </c>
      <c r="AL279" s="159">
        <f t="shared" si="123"/>
        <v>0</v>
      </c>
      <c r="AM279" s="141" t="str">
        <f t="shared" si="124"/>
        <v>Sem Dados</v>
      </c>
      <c r="AN279" s="141" t="str">
        <f t="shared" si="127"/>
        <v>0 Sem Dados</v>
      </c>
    </row>
    <row r="280" spans="1:40" ht="15.75" x14ac:dyDescent="0.25">
      <c r="A280" s="36" t="str">
        <f t="shared" si="89"/>
        <v/>
      </c>
      <c r="B280" s="129" t="s">
        <v>123</v>
      </c>
      <c r="C280" s="37" t="str">
        <f t="shared" si="90"/>
        <v xml:space="preserve"> LINGUA ESPANHOLA</v>
      </c>
      <c r="D280" s="129" t="str">
        <f t="shared" si="91"/>
        <v>SEM DADOS</v>
      </c>
      <c r="E280" s="37" t="str">
        <f t="shared" si="92"/>
        <v>SEM DADOS</v>
      </c>
      <c r="F280" s="37" t="str">
        <f t="shared" si="93"/>
        <v>SEM DADOS</v>
      </c>
      <c r="G280" s="37" t="str">
        <f t="shared" si="94"/>
        <v>SEM DADOS</v>
      </c>
      <c r="H280" s="37" t="str">
        <f t="shared" si="95"/>
        <v>SEM DADOS</v>
      </c>
      <c r="I280" s="37" t="str">
        <f t="shared" si="96"/>
        <v>SEM DADOS</v>
      </c>
      <c r="J280" s="37" t="str">
        <f t="shared" si="97"/>
        <v>SEM DADOS</v>
      </c>
      <c r="K280" s="37" t="str">
        <f t="shared" si="98"/>
        <v>SEM DADOS</v>
      </c>
      <c r="L280" s="37" t="str">
        <f t="shared" si="125"/>
        <v>90% de las partículas deben estar entre  y  HRC</v>
      </c>
      <c r="M280" s="130" t="str">
        <f t="shared" si="99"/>
        <v/>
      </c>
      <c r="N280" s="131" t="str">
        <f t="shared" si="100"/>
        <v/>
      </c>
      <c r="O280" s="40" t="str">
        <f t="shared" si="101"/>
        <v/>
      </c>
      <c r="P280" s="130" t="str">
        <f t="shared" si="102"/>
        <v/>
      </c>
      <c r="Q280" s="131" t="str">
        <f t="shared" si="103"/>
        <v/>
      </c>
      <c r="R280" s="40" t="str">
        <f t="shared" si="104"/>
        <v/>
      </c>
      <c r="S280" s="130" t="str">
        <f t="shared" si="105"/>
        <v/>
      </c>
      <c r="T280" s="131" t="str">
        <f t="shared" si="106"/>
        <v/>
      </c>
      <c r="U280" s="40" t="str">
        <f t="shared" si="107"/>
        <v/>
      </c>
      <c r="V280" s="130" t="str">
        <f t="shared" si="108"/>
        <v/>
      </c>
      <c r="W280" s="131" t="str">
        <f t="shared" si="109"/>
        <v/>
      </c>
      <c r="X280" s="40" t="str">
        <f t="shared" si="110"/>
        <v/>
      </c>
      <c r="Y280" s="130" t="str">
        <f t="shared" si="111"/>
        <v/>
      </c>
      <c r="Z280" s="131" t="str">
        <f t="shared" si="112"/>
        <v/>
      </c>
      <c r="AA280" s="40" t="str">
        <f t="shared" si="113"/>
        <v/>
      </c>
      <c r="AB280" s="130" t="str">
        <f t="shared" si="114"/>
        <v/>
      </c>
      <c r="AC280" s="131" t="str">
        <f t="shared" si="115"/>
        <v/>
      </c>
      <c r="AD280" s="40" t="str">
        <f t="shared" si="116"/>
        <v/>
      </c>
      <c r="AE280" s="130" t="str">
        <f t="shared" si="117"/>
        <v/>
      </c>
      <c r="AF280" s="131" t="str">
        <f t="shared" si="118"/>
        <v/>
      </c>
      <c r="AG280" s="40" t="str">
        <f t="shared" si="119"/>
        <v/>
      </c>
      <c r="AH280" s="37" t="str">
        <f t="shared" si="120"/>
        <v/>
      </c>
      <c r="AI280" s="37" t="str">
        <f t="shared" si="121"/>
        <v/>
      </c>
      <c r="AJ280" s="52" t="str">
        <f t="shared" si="122"/>
        <v>SEM DADOS</v>
      </c>
      <c r="AK280" s="145" t="str">
        <f t="shared" si="126"/>
        <v xml:space="preserve"> LINGUA ESPANHOLA</v>
      </c>
      <c r="AL280" s="159">
        <f t="shared" si="123"/>
        <v>0</v>
      </c>
      <c r="AM280" s="141" t="str">
        <f t="shared" si="124"/>
        <v>Sem Dados</v>
      </c>
      <c r="AN280" s="141" t="str">
        <f t="shared" si="127"/>
        <v>0 Sem Dados</v>
      </c>
    </row>
    <row r="281" spans="1:40" ht="15.75" x14ac:dyDescent="0.25">
      <c r="A281" s="36" t="str">
        <f t="shared" si="89"/>
        <v/>
      </c>
      <c r="B281" s="129" t="s">
        <v>123</v>
      </c>
      <c r="C281" s="37" t="str">
        <f t="shared" si="90"/>
        <v xml:space="preserve"> LINGUA ESPANHOLA</v>
      </c>
      <c r="D281" s="129" t="str">
        <f t="shared" si="91"/>
        <v>SEM DADOS</v>
      </c>
      <c r="E281" s="37" t="str">
        <f t="shared" si="92"/>
        <v>SEM DADOS</v>
      </c>
      <c r="F281" s="37" t="str">
        <f t="shared" si="93"/>
        <v>SEM DADOS</v>
      </c>
      <c r="G281" s="37" t="str">
        <f t="shared" si="94"/>
        <v>SEM DADOS</v>
      </c>
      <c r="H281" s="37" t="str">
        <f t="shared" si="95"/>
        <v>SEM DADOS</v>
      </c>
      <c r="I281" s="37" t="str">
        <f t="shared" si="96"/>
        <v>SEM DADOS</v>
      </c>
      <c r="J281" s="37" t="str">
        <f t="shared" si="97"/>
        <v>SEM DADOS</v>
      </c>
      <c r="K281" s="37" t="str">
        <f t="shared" si="98"/>
        <v>SEM DADOS</v>
      </c>
      <c r="L281" s="37" t="str">
        <f t="shared" si="125"/>
        <v>90% de las partículas deben estar entre  y  HRC</v>
      </c>
      <c r="M281" s="130" t="str">
        <f t="shared" si="99"/>
        <v/>
      </c>
      <c r="N281" s="131" t="str">
        <f t="shared" si="100"/>
        <v/>
      </c>
      <c r="O281" s="40" t="str">
        <f t="shared" si="101"/>
        <v/>
      </c>
      <c r="P281" s="130" t="str">
        <f t="shared" si="102"/>
        <v/>
      </c>
      <c r="Q281" s="131" t="str">
        <f t="shared" si="103"/>
        <v/>
      </c>
      <c r="R281" s="40" t="str">
        <f t="shared" si="104"/>
        <v/>
      </c>
      <c r="S281" s="130" t="str">
        <f t="shared" si="105"/>
        <v/>
      </c>
      <c r="T281" s="131" t="str">
        <f t="shared" si="106"/>
        <v/>
      </c>
      <c r="U281" s="40" t="str">
        <f t="shared" si="107"/>
        <v/>
      </c>
      <c r="V281" s="130" t="str">
        <f t="shared" si="108"/>
        <v/>
      </c>
      <c r="W281" s="131" t="str">
        <f t="shared" si="109"/>
        <v/>
      </c>
      <c r="X281" s="40" t="str">
        <f t="shared" si="110"/>
        <v/>
      </c>
      <c r="Y281" s="130" t="str">
        <f t="shared" si="111"/>
        <v/>
      </c>
      <c r="Z281" s="131" t="str">
        <f t="shared" si="112"/>
        <v/>
      </c>
      <c r="AA281" s="40" t="str">
        <f t="shared" si="113"/>
        <v/>
      </c>
      <c r="AB281" s="130" t="str">
        <f t="shared" si="114"/>
        <v/>
      </c>
      <c r="AC281" s="131" t="str">
        <f t="shared" si="115"/>
        <v/>
      </c>
      <c r="AD281" s="40" t="str">
        <f t="shared" si="116"/>
        <v/>
      </c>
      <c r="AE281" s="130" t="str">
        <f t="shared" si="117"/>
        <v/>
      </c>
      <c r="AF281" s="131" t="str">
        <f t="shared" si="118"/>
        <v/>
      </c>
      <c r="AG281" s="40" t="str">
        <f t="shared" si="119"/>
        <v/>
      </c>
      <c r="AH281" s="37" t="str">
        <f t="shared" si="120"/>
        <v/>
      </c>
      <c r="AI281" s="37" t="str">
        <f t="shared" si="121"/>
        <v/>
      </c>
      <c r="AJ281" s="52" t="str">
        <f t="shared" si="122"/>
        <v>SEM DADOS</v>
      </c>
      <c r="AK281" s="145" t="str">
        <f t="shared" si="126"/>
        <v xml:space="preserve"> LINGUA ESPANHOLA</v>
      </c>
      <c r="AL281" s="159">
        <f t="shared" si="123"/>
        <v>0</v>
      </c>
      <c r="AM281" s="141" t="str">
        <f t="shared" si="124"/>
        <v>Sem Dados</v>
      </c>
      <c r="AN281" s="141" t="str">
        <f t="shared" si="127"/>
        <v>0 Sem Dados</v>
      </c>
    </row>
    <row r="282" spans="1:40" ht="15.75" x14ac:dyDescent="0.25">
      <c r="A282" s="36" t="str">
        <f t="shared" si="89"/>
        <v/>
      </c>
      <c r="B282" s="129" t="s">
        <v>123</v>
      </c>
      <c r="C282" s="37" t="str">
        <f t="shared" si="90"/>
        <v xml:space="preserve"> LINGUA ESPANHOLA</v>
      </c>
      <c r="D282" s="129" t="str">
        <f t="shared" si="91"/>
        <v>SEM DADOS</v>
      </c>
      <c r="E282" s="37" t="str">
        <f t="shared" si="92"/>
        <v>SEM DADOS</v>
      </c>
      <c r="F282" s="37" t="str">
        <f t="shared" si="93"/>
        <v>SEM DADOS</v>
      </c>
      <c r="G282" s="37" t="str">
        <f t="shared" si="94"/>
        <v>SEM DADOS</v>
      </c>
      <c r="H282" s="37" t="str">
        <f t="shared" si="95"/>
        <v>SEM DADOS</v>
      </c>
      <c r="I282" s="37" t="str">
        <f t="shared" si="96"/>
        <v>SEM DADOS</v>
      </c>
      <c r="J282" s="37" t="str">
        <f t="shared" si="97"/>
        <v>SEM DADOS</v>
      </c>
      <c r="K282" s="37" t="str">
        <f t="shared" si="98"/>
        <v>SEM DADOS</v>
      </c>
      <c r="L282" s="37" t="str">
        <f t="shared" si="125"/>
        <v>90% de las partículas deben estar entre  y  HRC</v>
      </c>
      <c r="M282" s="130" t="str">
        <f t="shared" si="99"/>
        <v/>
      </c>
      <c r="N282" s="131" t="str">
        <f t="shared" si="100"/>
        <v/>
      </c>
      <c r="O282" s="40" t="str">
        <f t="shared" si="101"/>
        <v/>
      </c>
      <c r="P282" s="130" t="str">
        <f t="shared" si="102"/>
        <v/>
      </c>
      <c r="Q282" s="131" t="str">
        <f t="shared" si="103"/>
        <v/>
      </c>
      <c r="R282" s="40" t="str">
        <f t="shared" si="104"/>
        <v/>
      </c>
      <c r="S282" s="130" t="str">
        <f t="shared" si="105"/>
        <v/>
      </c>
      <c r="T282" s="131" t="str">
        <f t="shared" si="106"/>
        <v/>
      </c>
      <c r="U282" s="40" t="str">
        <f t="shared" si="107"/>
        <v/>
      </c>
      <c r="V282" s="130" t="str">
        <f t="shared" si="108"/>
        <v/>
      </c>
      <c r="W282" s="131" t="str">
        <f t="shared" si="109"/>
        <v/>
      </c>
      <c r="X282" s="40" t="str">
        <f t="shared" si="110"/>
        <v/>
      </c>
      <c r="Y282" s="130" t="str">
        <f t="shared" si="111"/>
        <v/>
      </c>
      <c r="Z282" s="131" t="str">
        <f t="shared" si="112"/>
        <v/>
      </c>
      <c r="AA282" s="40" t="str">
        <f t="shared" si="113"/>
        <v/>
      </c>
      <c r="AB282" s="130" t="str">
        <f t="shared" si="114"/>
        <v/>
      </c>
      <c r="AC282" s="131" t="str">
        <f t="shared" si="115"/>
        <v/>
      </c>
      <c r="AD282" s="40" t="str">
        <f t="shared" si="116"/>
        <v/>
      </c>
      <c r="AE282" s="130" t="str">
        <f t="shared" si="117"/>
        <v/>
      </c>
      <c r="AF282" s="131" t="str">
        <f t="shared" si="118"/>
        <v/>
      </c>
      <c r="AG282" s="40" t="str">
        <f t="shared" si="119"/>
        <v/>
      </c>
      <c r="AH282" s="37" t="str">
        <f t="shared" si="120"/>
        <v/>
      </c>
      <c r="AI282" s="37" t="str">
        <f t="shared" si="121"/>
        <v/>
      </c>
      <c r="AJ282" s="52" t="str">
        <f t="shared" si="122"/>
        <v>SEM DADOS</v>
      </c>
      <c r="AK282" s="145" t="str">
        <f t="shared" si="126"/>
        <v xml:space="preserve"> LINGUA ESPANHOLA</v>
      </c>
      <c r="AL282" s="159">
        <f t="shared" si="123"/>
        <v>0</v>
      </c>
      <c r="AM282" s="141" t="str">
        <f t="shared" si="124"/>
        <v>Sem Dados</v>
      </c>
      <c r="AN282" s="141" t="str">
        <f t="shared" si="127"/>
        <v>0 Sem Dados</v>
      </c>
    </row>
    <row r="283" spans="1:40" ht="16.5" thickBot="1" x14ac:dyDescent="0.3">
      <c r="A283" s="36" t="str">
        <f t="shared" si="89"/>
        <v/>
      </c>
      <c r="B283" s="37" t="s">
        <v>123</v>
      </c>
      <c r="C283" s="37" t="str">
        <f t="shared" si="90"/>
        <v xml:space="preserve"> LINGUA ESPANHOLA</v>
      </c>
      <c r="D283" s="48" t="str">
        <f t="shared" si="91"/>
        <v>SEM DADOS</v>
      </c>
      <c r="E283" s="48" t="str">
        <f t="shared" si="92"/>
        <v>SEM DADOS</v>
      </c>
      <c r="F283" s="48" t="str">
        <f t="shared" si="93"/>
        <v>SEM DADOS</v>
      </c>
      <c r="G283" s="48" t="str">
        <f t="shared" si="94"/>
        <v>SEM DADOS</v>
      </c>
      <c r="H283" s="48" t="str">
        <f t="shared" si="95"/>
        <v>SEM DADOS</v>
      </c>
      <c r="I283" s="48" t="str">
        <f t="shared" si="96"/>
        <v>SEM DADOS</v>
      </c>
      <c r="J283" s="48" t="str">
        <f t="shared" si="97"/>
        <v>SEM DADOS</v>
      </c>
      <c r="K283" s="48" t="str">
        <f t="shared" si="98"/>
        <v>SEM DADOS</v>
      </c>
      <c r="L283" s="48" t="e">
        <f>CONCATENATE("90% de las partículas deben estar entre ",#REF!, " y ",#REF!, " HRC")</f>
        <v>#REF!</v>
      </c>
      <c r="M283" s="48" t="str">
        <f t="shared" si="99"/>
        <v/>
      </c>
      <c r="N283" s="48" t="str">
        <f t="shared" si="100"/>
        <v/>
      </c>
      <c r="O283" s="40" t="str">
        <f t="shared" si="101"/>
        <v/>
      </c>
      <c r="P283" s="40" t="str">
        <f t="shared" si="102"/>
        <v/>
      </c>
      <c r="Q283" s="40" t="str">
        <f t="shared" si="103"/>
        <v/>
      </c>
      <c r="R283" s="40" t="str">
        <f t="shared" si="104"/>
        <v/>
      </c>
      <c r="S283" s="40" t="str">
        <f t="shared" si="105"/>
        <v/>
      </c>
      <c r="T283" s="40" t="str">
        <f t="shared" si="106"/>
        <v/>
      </c>
      <c r="U283" s="40" t="str">
        <f t="shared" si="107"/>
        <v/>
      </c>
      <c r="V283" s="49" t="str">
        <f t="shared" si="108"/>
        <v/>
      </c>
      <c r="W283" s="49" t="str">
        <f t="shared" si="109"/>
        <v/>
      </c>
      <c r="X283" s="40" t="str">
        <f t="shared" si="110"/>
        <v/>
      </c>
      <c r="Y283" s="49" t="str">
        <f t="shared" si="111"/>
        <v/>
      </c>
      <c r="Z283" s="49" t="str">
        <f t="shared" si="112"/>
        <v/>
      </c>
      <c r="AA283" s="40" t="str">
        <f t="shared" si="113"/>
        <v/>
      </c>
      <c r="AB283" s="37" t="str">
        <f t="shared" si="114"/>
        <v/>
      </c>
      <c r="AC283" s="37" t="str">
        <f t="shared" si="115"/>
        <v/>
      </c>
      <c r="AD283" s="40" t="str">
        <f t="shared" si="116"/>
        <v/>
      </c>
      <c r="AE283" s="37" t="str">
        <f t="shared" si="117"/>
        <v/>
      </c>
      <c r="AF283" s="37" t="str">
        <f t="shared" si="118"/>
        <v/>
      </c>
      <c r="AG283" s="40" t="str">
        <f t="shared" si="119"/>
        <v/>
      </c>
      <c r="AH283" s="37" t="str">
        <f t="shared" si="120"/>
        <v/>
      </c>
      <c r="AI283" s="37" t="str">
        <f t="shared" si="121"/>
        <v/>
      </c>
      <c r="AJ283" s="52" t="str">
        <f t="shared" si="122"/>
        <v>SEM DADOS</v>
      </c>
      <c r="AK283" s="145" t="str">
        <f t="shared" si="126"/>
        <v xml:space="preserve"> LINGUA ESPANHOLA</v>
      </c>
      <c r="AL283" s="159">
        <f t="shared" si="123"/>
        <v>0</v>
      </c>
      <c r="AM283" s="141" t="str">
        <f t="shared" si="124"/>
        <v>Sem Dados</v>
      </c>
      <c r="AN283" s="141" t="str">
        <f t="shared" si="127"/>
        <v>0 Sem Dados</v>
      </c>
    </row>
    <row r="284" spans="1:40" ht="15.75" x14ac:dyDescent="0.25">
      <c r="D284" s="11"/>
      <c r="E284" s="11"/>
      <c r="F284" s="11"/>
      <c r="G284" s="11"/>
      <c r="H284" s="11"/>
      <c r="I284" s="11"/>
      <c r="J284" s="11"/>
      <c r="K284" s="11"/>
      <c r="L284" s="11"/>
    </row>
    <row r="285" spans="1:40" ht="15.75" x14ac:dyDescent="0.25">
      <c r="D285" s="11"/>
      <c r="E285" s="11"/>
      <c r="F285" s="11"/>
      <c r="G285" s="11"/>
      <c r="H285" s="11"/>
      <c r="I285" s="11"/>
      <c r="J285" s="11"/>
      <c r="K285" s="11"/>
      <c r="L285" s="11"/>
    </row>
    <row r="286" spans="1:40" ht="15.75" x14ac:dyDescent="0.25">
      <c r="D286" s="11"/>
      <c r="E286" s="11"/>
      <c r="F286" s="11"/>
      <c r="G286" s="11"/>
      <c r="H286" s="11"/>
      <c r="I286" s="11"/>
      <c r="J286" s="11"/>
      <c r="K286" s="11"/>
      <c r="L286" s="11"/>
    </row>
    <row r="287" spans="1:40" ht="15.75" x14ac:dyDescent="0.25">
      <c r="D287" s="11"/>
      <c r="E287" s="11"/>
      <c r="F287" s="11"/>
      <c r="G287" s="11"/>
      <c r="H287" s="11"/>
      <c r="I287" s="11"/>
      <c r="J287" s="11"/>
      <c r="K287" s="11"/>
      <c r="L287" s="11"/>
    </row>
    <row r="288" spans="1:40" ht="15.75" x14ac:dyDescent="0.25">
      <c r="D288" s="11"/>
      <c r="E288" s="11"/>
      <c r="F288" s="11"/>
      <c r="G288" s="11"/>
      <c r="H288" s="11"/>
      <c r="I288" s="11"/>
      <c r="J288" s="11"/>
      <c r="K288" s="11"/>
      <c r="L288" s="11"/>
    </row>
    <row r="289" spans="4:12" ht="15.75" x14ac:dyDescent="0.25">
      <c r="D289" s="11"/>
      <c r="E289" s="11"/>
      <c r="F289" s="11"/>
      <c r="G289" s="11"/>
      <c r="H289" s="11"/>
      <c r="I289" s="11"/>
      <c r="J289" s="11"/>
      <c r="K289" s="11"/>
      <c r="L289" s="11"/>
    </row>
    <row r="290" spans="4:12" ht="15.75" x14ac:dyDescent="0.25">
      <c r="D290" s="11"/>
      <c r="E290" s="11"/>
      <c r="F290" s="11"/>
      <c r="G290" s="11"/>
      <c r="H290" s="11"/>
      <c r="I290" s="11"/>
      <c r="J290" s="11"/>
      <c r="K290" s="11"/>
      <c r="L290" s="11"/>
    </row>
    <row r="291" spans="4:12" ht="15.75" x14ac:dyDescent="0.25">
      <c r="D291" s="11"/>
      <c r="E291" s="11"/>
      <c r="F291" s="11"/>
      <c r="G291" s="11"/>
      <c r="H291" s="11"/>
      <c r="I291" s="11"/>
      <c r="J291" s="11"/>
      <c r="K291" s="11"/>
      <c r="L291" s="11"/>
    </row>
    <row r="292" spans="4:12" ht="15.75" x14ac:dyDescent="0.25">
      <c r="D292" s="11"/>
      <c r="E292" s="11"/>
      <c r="F292" s="11"/>
      <c r="G292" s="11"/>
      <c r="H292" s="11"/>
      <c r="I292" s="11"/>
      <c r="J292" s="11"/>
      <c r="K292" s="11"/>
      <c r="L292" s="11"/>
    </row>
    <row r="293" spans="4:12" ht="15.75" x14ac:dyDescent="0.25">
      <c r="D293" s="11"/>
      <c r="E293" s="11"/>
      <c r="F293" s="11"/>
      <c r="G293" s="11"/>
      <c r="H293" s="11"/>
      <c r="I293" s="11"/>
      <c r="J293" s="11"/>
      <c r="K293" s="11"/>
      <c r="L293" s="11"/>
    </row>
    <row r="294" spans="4:12" ht="15.75" x14ac:dyDescent="0.25">
      <c r="D294" s="11"/>
      <c r="E294" s="11"/>
      <c r="F294" s="11"/>
      <c r="G294" s="11"/>
      <c r="H294" s="11"/>
      <c r="I294" s="11"/>
      <c r="J294" s="11"/>
      <c r="K294" s="11"/>
      <c r="L294" s="11"/>
    </row>
    <row r="295" spans="4:12" ht="15.75" x14ac:dyDescent="0.25">
      <c r="D295" s="11"/>
      <c r="E295" s="11"/>
      <c r="F295" s="11"/>
      <c r="G295" s="11"/>
      <c r="H295" s="11"/>
      <c r="I295" s="11"/>
      <c r="J295" s="11"/>
      <c r="K295" s="11"/>
      <c r="L295" s="11"/>
    </row>
    <row r="296" spans="4:12" ht="15.75" x14ac:dyDescent="0.25">
      <c r="D296" s="11"/>
      <c r="E296" s="11"/>
      <c r="F296" s="11"/>
      <c r="G296" s="11"/>
      <c r="H296" s="11"/>
      <c r="I296" s="11"/>
      <c r="J296" s="11"/>
      <c r="K296" s="11"/>
      <c r="L296" s="11"/>
    </row>
    <row r="297" spans="4:12" ht="15.75" x14ac:dyDescent="0.25">
      <c r="D297" s="11"/>
      <c r="E297" s="11"/>
      <c r="F297" s="11"/>
      <c r="G297" s="11"/>
      <c r="H297" s="11"/>
      <c r="I297" s="11"/>
      <c r="J297" s="11"/>
      <c r="K297" s="11"/>
      <c r="L297" s="11"/>
    </row>
    <row r="298" spans="4:12" ht="15.75" x14ac:dyDescent="0.25">
      <c r="D298" s="11"/>
      <c r="E298" s="11"/>
      <c r="F298" s="11"/>
      <c r="G298" s="11"/>
      <c r="H298" s="11"/>
      <c r="I298" s="11"/>
      <c r="J298" s="11"/>
      <c r="K298" s="11"/>
      <c r="L298" s="11"/>
    </row>
    <row r="299" spans="4:12" ht="15.75" x14ac:dyDescent="0.25">
      <c r="D299" s="11"/>
      <c r="E299" s="11"/>
      <c r="F299" s="11"/>
      <c r="G299" s="11"/>
      <c r="H299" s="11"/>
      <c r="I299" s="11"/>
      <c r="J299" s="11"/>
      <c r="K299" s="11"/>
      <c r="L299" s="11"/>
    </row>
    <row r="300" spans="4:12" ht="15.75" x14ac:dyDescent="0.25">
      <c r="D300" s="11"/>
      <c r="E300" s="11"/>
      <c r="F300" s="11"/>
      <c r="G300" s="11"/>
      <c r="H300" s="11"/>
      <c r="I300" s="11"/>
      <c r="J300" s="11"/>
      <c r="K300" s="11"/>
      <c r="L300" s="11"/>
    </row>
    <row r="301" spans="4:12" ht="15.75" x14ac:dyDescent="0.25">
      <c r="D301" s="11"/>
      <c r="E301" s="11"/>
      <c r="F301" s="11"/>
      <c r="G301" s="11"/>
      <c r="H301" s="11"/>
      <c r="I301" s="11"/>
      <c r="J301" s="11"/>
      <c r="K301" s="11"/>
      <c r="L301" s="11"/>
    </row>
    <row r="302" spans="4:12" ht="15.75" x14ac:dyDescent="0.25">
      <c r="D302" s="11"/>
      <c r="E302" s="11"/>
      <c r="F302" s="11"/>
      <c r="G302" s="11"/>
      <c r="H302" s="11"/>
      <c r="I302" s="11"/>
      <c r="J302" s="11"/>
      <c r="K302" s="11"/>
      <c r="L302" s="11"/>
    </row>
    <row r="303" spans="4:12" ht="15.75" x14ac:dyDescent="0.25">
      <c r="D303" s="11"/>
      <c r="E303" s="11"/>
      <c r="F303" s="11"/>
      <c r="G303" s="11"/>
      <c r="H303" s="11"/>
      <c r="I303" s="11"/>
      <c r="J303" s="11"/>
      <c r="K303" s="11"/>
      <c r="L303" s="11"/>
    </row>
    <row r="304" spans="4:12" ht="15.75" x14ac:dyDescent="0.25">
      <c r="D304" s="11"/>
      <c r="E304" s="11"/>
      <c r="F304" s="11"/>
      <c r="G304" s="11"/>
      <c r="H304" s="11"/>
      <c r="I304" s="11"/>
      <c r="J304" s="11"/>
      <c r="K304" s="11"/>
      <c r="L304" s="11"/>
    </row>
    <row r="305" spans="4:39" ht="15.75" x14ac:dyDescent="0.25">
      <c r="D305" s="11"/>
      <c r="E305" s="11"/>
      <c r="F305" s="11"/>
      <c r="G305" s="11"/>
      <c r="H305" s="11"/>
      <c r="I305" s="11"/>
      <c r="J305" s="11"/>
      <c r="K305" s="11"/>
      <c r="L305" s="11"/>
    </row>
    <row r="306" spans="4:39" ht="15.75" x14ac:dyDescent="0.25">
      <c r="D306" s="11"/>
      <c r="E306" s="11"/>
      <c r="F306" s="11"/>
      <c r="G306" s="11"/>
      <c r="H306" s="11"/>
      <c r="I306" s="11"/>
      <c r="J306" s="11"/>
      <c r="K306" s="11"/>
      <c r="L306" s="11"/>
    </row>
    <row r="307" spans="4:39" ht="15.75" x14ac:dyDescent="0.25">
      <c r="D307" s="11"/>
      <c r="E307" s="11"/>
      <c r="F307" s="11"/>
      <c r="G307" s="11"/>
      <c r="H307" s="11"/>
      <c r="I307" s="11"/>
      <c r="J307" s="11"/>
      <c r="K307" s="11"/>
      <c r="L307" s="11"/>
    </row>
    <row r="308" spans="4:39" ht="15.75" x14ac:dyDescent="0.25">
      <c r="D308" s="11"/>
      <c r="E308" s="11"/>
      <c r="F308" s="11"/>
      <c r="G308" s="11"/>
      <c r="H308" s="11"/>
      <c r="I308" s="11"/>
      <c r="J308" s="11"/>
      <c r="K308" s="11"/>
      <c r="L308" s="11"/>
    </row>
    <row r="309" spans="4:39" ht="19.5" x14ac:dyDescent="0.3">
      <c r="D309" s="11"/>
      <c r="E309" s="11"/>
      <c r="F309" s="11"/>
      <c r="G309" s="11"/>
      <c r="H309" s="11"/>
      <c r="I309" s="11"/>
      <c r="J309" s="11"/>
      <c r="K309" s="11"/>
      <c r="L309" s="11"/>
      <c r="Q309" s="13"/>
      <c r="R309" s="13"/>
      <c r="S309" s="9"/>
      <c r="T309" s="238"/>
      <c r="U309" s="238"/>
      <c r="V309" s="238"/>
      <c r="W309" s="239"/>
      <c r="X309" s="239"/>
      <c r="Y309" s="239"/>
      <c r="Z309" s="239"/>
      <c r="AA309" s="239"/>
      <c r="AB309" s="239"/>
      <c r="AC309" s="239"/>
      <c r="AD309" s="239"/>
      <c r="AE309" s="239"/>
      <c r="AF309" s="239"/>
      <c r="AG309" s="239"/>
      <c r="AH309" s="239"/>
      <c r="AI309" s="12"/>
      <c r="AJ309" s="12"/>
      <c r="AK309" s="12"/>
      <c r="AM309" s="12"/>
    </row>
    <row r="310" spans="4:39" ht="19.5" x14ac:dyDescent="0.3">
      <c r="D310" s="11"/>
      <c r="E310" s="11"/>
      <c r="F310" s="11"/>
      <c r="G310" s="11"/>
      <c r="H310" s="11"/>
      <c r="I310" s="11"/>
      <c r="J310" s="11"/>
      <c r="K310" s="11"/>
      <c r="L310" s="11"/>
      <c r="Q310" s="13"/>
      <c r="R310" s="13"/>
      <c r="S310" s="9"/>
      <c r="T310" s="238"/>
      <c r="U310" s="238"/>
      <c r="V310" s="238"/>
      <c r="W310" s="239"/>
      <c r="X310" s="239"/>
      <c r="Y310" s="239"/>
      <c r="Z310" s="239"/>
      <c r="AA310" s="239"/>
      <c r="AB310" s="239"/>
      <c r="AC310" s="239"/>
      <c r="AD310" s="239"/>
      <c r="AE310" s="239"/>
      <c r="AF310" s="239"/>
      <c r="AG310" s="239"/>
      <c r="AH310" s="239"/>
      <c r="AI310" s="12"/>
      <c r="AJ310" s="12"/>
      <c r="AK310" s="12"/>
      <c r="AM310" s="12"/>
    </row>
    <row r="311" spans="4:39" ht="19.5" x14ac:dyDescent="0.3">
      <c r="D311" s="11"/>
      <c r="E311" s="11"/>
      <c r="F311" s="11"/>
      <c r="G311" s="11"/>
      <c r="H311" s="11"/>
      <c r="I311" s="11"/>
      <c r="J311" s="11"/>
      <c r="K311" s="11"/>
      <c r="L311" s="11"/>
      <c r="Q311" s="13"/>
      <c r="R311" s="13"/>
      <c r="S311" s="9"/>
      <c r="T311" s="238"/>
      <c r="U311" s="238"/>
      <c r="V311" s="238"/>
      <c r="W311" s="239"/>
      <c r="X311" s="239"/>
      <c r="Y311" s="239"/>
      <c r="Z311" s="239"/>
      <c r="AA311" s="239"/>
      <c r="AB311" s="239"/>
      <c r="AC311" s="239"/>
      <c r="AD311" s="239"/>
      <c r="AE311" s="239"/>
      <c r="AF311" s="239"/>
      <c r="AG311" s="239"/>
      <c r="AH311" s="239"/>
      <c r="AI311" s="12"/>
      <c r="AJ311" s="12"/>
      <c r="AK311" s="12"/>
      <c r="AM311" s="12"/>
    </row>
    <row r="312" spans="4:39" ht="19.5" x14ac:dyDescent="0.3">
      <c r="D312" s="11"/>
      <c r="E312" s="11"/>
      <c r="F312" s="11"/>
      <c r="G312" s="11"/>
      <c r="H312" s="11"/>
      <c r="I312" s="11"/>
      <c r="J312" s="11"/>
      <c r="K312" s="11"/>
      <c r="L312" s="11"/>
      <c r="Q312" s="13"/>
      <c r="R312" s="13"/>
      <c r="S312" s="9"/>
      <c r="T312" s="238"/>
      <c r="U312" s="238"/>
      <c r="V312" s="238"/>
      <c r="W312" s="239"/>
      <c r="X312" s="239"/>
      <c r="Y312" s="239"/>
      <c r="Z312" s="239"/>
      <c r="AA312" s="239"/>
      <c r="AB312" s="239"/>
      <c r="AC312" s="239"/>
      <c r="AD312" s="239"/>
      <c r="AE312" s="239"/>
      <c r="AF312" s="239"/>
      <c r="AG312" s="239"/>
      <c r="AH312" s="239"/>
      <c r="AI312" s="12"/>
      <c r="AJ312" s="12"/>
      <c r="AK312" s="12"/>
      <c r="AM312" s="12"/>
    </row>
    <row r="313" spans="4:39" ht="19.5" x14ac:dyDescent="0.3">
      <c r="D313" s="11"/>
      <c r="E313" s="11"/>
      <c r="F313" s="11"/>
      <c r="G313" s="11"/>
      <c r="H313" s="11"/>
      <c r="I313" s="11"/>
      <c r="J313" s="11"/>
      <c r="K313" s="11"/>
      <c r="L313" s="11"/>
      <c r="Q313" s="13"/>
      <c r="R313" s="13"/>
      <c r="S313" s="9"/>
      <c r="T313" s="238"/>
      <c r="U313" s="238"/>
      <c r="V313" s="238"/>
      <c r="W313" s="239"/>
      <c r="X313" s="239"/>
      <c r="Y313" s="239"/>
      <c r="Z313" s="239"/>
      <c r="AA313" s="239"/>
      <c r="AB313" s="239"/>
      <c r="AC313" s="239"/>
      <c r="AD313" s="239"/>
      <c r="AE313" s="239"/>
      <c r="AF313" s="239"/>
      <c r="AG313" s="239"/>
      <c r="AH313" s="239"/>
      <c r="AI313" s="12"/>
      <c r="AJ313" s="12"/>
      <c r="AK313" s="12"/>
      <c r="AM313" s="12"/>
    </row>
    <row r="314" spans="4:39" ht="19.5" x14ac:dyDescent="0.3">
      <c r="D314" s="11"/>
      <c r="E314" s="11"/>
      <c r="F314" s="11"/>
      <c r="G314" s="11"/>
      <c r="H314" s="11"/>
      <c r="I314" s="11"/>
      <c r="J314" s="11"/>
      <c r="K314" s="11"/>
      <c r="L314" s="11"/>
      <c r="Q314" s="13"/>
      <c r="R314" s="13"/>
      <c r="S314" s="9"/>
      <c r="T314" s="14"/>
      <c r="U314" s="14"/>
      <c r="V314" s="14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M314" s="12"/>
    </row>
    <row r="315" spans="4:39" ht="19.5" x14ac:dyDescent="0.3">
      <c r="D315" s="11"/>
      <c r="E315" s="11"/>
      <c r="F315" s="11"/>
      <c r="G315" s="11"/>
      <c r="H315" s="11"/>
      <c r="I315" s="11"/>
      <c r="J315" s="11"/>
      <c r="K315" s="11"/>
      <c r="L315" s="11"/>
      <c r="Q315" s="13"/>
      <c r="R315" s="13"/>
      <c r="S315" s="9"/>
      <c r="T315" s="238"/>
      <c r="U315" s="238"/>
      <c r="V315" s="238"/>
      <c r="W315" s="239"/>
      <c r="X315" s="239"/>
      <c r="Y315" s="239"/>
      <c r="Z315" s="239"/>
      <c r="AA315" s="239"/>
      <c r="AB315" s="239"/>
      <c r="AC315" s="239"/>
      <c r="AD315" s="239"/>
      <c r="AE315" s="239"/>
      <c r="AF315" s="239"/>
      <c r="AG315" s="239"/>
      <c r="AH315" s="239"/>
      <c r="AI315" s="12"/>
      <c r="AJ315" s="12"/>
      <c r="AK315" s="12"/>
      <c r="AM315" s="12"/>
    </row>
    <row r="316" spans="4:39" ht="15.75" x14ac:dyDescent="0.25">
      <c r="D316" s="11"/>
      <c r="E316" s="11"/>
      <c r="F316" s="11"/>
      <c r="G316" s="11"/>
      <c r="H316" s="11"/>
      <c r="I316" s="11"/>
      <c r="J316" s="11"/>
      <c r="K316" s="11"/>
      <c r="L316" s="11"/>
      <c r="T316" s="15"/>
      <c r="U316" s="15"/>
      <c r="V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M316" s="15"/>
    </row>
    <row r="317" spans="4:39" ht="15.75" x14ac:dyDescent="0.25">
      <c r="D317" s="11"/>
      <c r="E317" s="11"/>
      <c r="F317" s="11"/>
      <c r="G317" s="11"/>
      <c r="H317" s="11"/>
      <c r="I317" s="11"/>
      <c r="J317" s="11"/>
      <c r="K317" s="11"/>
      <c r="L317" s="11"/>
      <c r="T317" s="15"/>
      <c r="U317" s="15"/>
      <c r="V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M317" s="15"/>
    </row>
    <row r="318" spans="4:39" ht="15.75" x14ac:dyDescent="0.25">
      <c r="D318" s="11"/>
      <c r="E318" s="11"/>
      <c r="F318" s="11"/>
      <c r="G318" s="11"/>
      <c r="H318" s="11"/>
      <c r="I318" s="11"/>
      <c r="J318" s="11"/>
      <c r="K318" s="11"/>
      <c r="L318" s="11"/>
      <c r="T318" s="16"/>
      <c r="U318" s="16"/>
      <c r="V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M318" s="16"/>
    </row>
    <row r="319" spans="4:39" ht="15.75" x14ac:dyDescent="0.25">
      <c r="D319" s="11"/>
      <c r="E319" s="11"/>
      <c r="F319" s="11"/>
      <c r="G319" s="11"/>
      <c r="H319" s="11"/>
      <c r="I319" s="11"/>
      <c r="J319" s="11"/>
      <c r="K319" s="11"/>
      <c r="L319" s="11"/>
      <c r="T319" s="16"/>
      <c r="U319" s="16"/>
      <c r="V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M319" s="16"/>
    </row>
    <row r="320" spans="4:39" ht="15.75" x14ac:dyDescent="0.25">
      <c r="D320" s="11"/>
      <c r="E320" s="11"/>
      <c r="F320" s="11"/>
      <c r="G320" s="11"/>
      <c r="H320" s="11"/>
      <c r="I320" s="11"/>
      <c r="J320" s="11"/>
      <c r="K320" s="11"/>
      <c r="L320" s="11"/>
      <c r="T320" s="15"/>
      <c r="U320" s="15"/>
      <c r="V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M320" s="15"/>
    </row>
    <row r="321" spans="1:39" ht="15.75" x14ac:dyDescent="0.25">
      <c r="D321" s="11"/>
      <c r="E321" s="11"/>
      <c r="F321" s="11"/>
      <c r="G321" s="11"/>
      <c r="H321" s="11"/>
      <c r="I321" s="11"/>
      <c r="J321" s="11"/>
      <c r="K321" s="11"/>
      <c r="L321" s="11"/>
      <c r="T321" s="15"/>
      <c r="U321" s="15"/>
      <c r="V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M321" s="15"/>
    </row>
    <row r="322" spans="1:39" ht="15.75" x14ac:dyDescent="0.25">
      <c r="D322" s="11"/>
      <c r="E322" s="11"/>
      <c r="F322" s="11"/>
      <c r="G322" s="11"/>
      <c r="H322" s="11"/>
      <c r="I322" s="11"/>
      <c r="J322" s="11"/>
      <c r="K322" s="11"/>
      <c r="L322" s="11"/>
      <c r="T322" s="16"/>
      <c r="U322" s="16"/>
      <c r="V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M322" s="16"/>
    </row>
    <row r="323" spans="1:39" ht="15.75" x14ac:dyDescent="0.25">
      <c r="D323" s="11"/>
      <c r="E323" s="11"/>
      <c r="F323" s="11"/>
      <c r="G323" s="11"/>
      <c r="H323" s="11"/>
      <c r="I323" s="11"/>
      <c r="J323" s="11"/>
      <c r="K323" s="11"/>
      <c r="L323" s="11"/>
      <c r="T323" s="16"/>
      <c r="U323" s="16"/>
      <c r="V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M323" s="16"/>
    </row>
    <row r="324" spans="1:39" ht="15.75" x14ac:dyDescent="0.25">
      <c r="D324" s="11"/>
      <c r="E324" s="11"/>
      <c r="F324" s="11"/>
      <c r="G324" s="11"/>
      <c r="H324" s="11"/>
      <c r="I324" s="11"/>
      <c r="J324" s="11"/>
      <c r="K324" s="11"/>
      <c r="L324" s="11"/>
      <c r="T324" s="16"/>
      <c r="U324" s="16"/>
      <c r="V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M324" s="16"/>
    </row>
    <row r="325" spans="1:39" ht="15.75" x14ac:dyDescent="0.25">
      <c r="D325" s="11"/>
      <c r="E325" s="11"/>
      <c r="F325" s="11"/>
      <c r="G325" s="11"/>
      <c r="H325" s="11"/>
      <c r="I325" s="11"/>
      <c r="J325" s="11"/>
      <c r="K325" s="11"/>
      <c r="L325" s="11"/>
      <c r="T325" s="16"/>
      <c r="U325" s="16"/>
      <c r="V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M325" s="16"/>
    </row>
    <row r="326" spans="1:39" ht="15.75" x14ac:dyDescent="0.25">
      <c r="D326" s="11"/>
      <c r="E326" s="11"/>
      <c r="F326" s="11"/>
      <c r="G326" s="11"/>
      <c r="H326" s="11"/>
      <c r="I326" s="11"/>
      <c r="J326" s="11"/>
      <c r="K326" s="11"/>
      <c r="L326" s="11"/>
      <c r="T326" s="16"/>
      <c r="U326" s="16"/>
      <c r="V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M326" s="16"/>
    </row>
    <row r="327" spans="1:39" ht="15.75" x14ac:dyDescent="0.25">
      <c r="D327" s="11"/>
      <c r="E327" s="11"/>
      <c r="F327" s="11"/>
      <c r="G327" s="11"/>
      <c r="H327" s="11"/>
      <c r="I327" s="11"/>
      <c r="J327" s="11"/>
      <c r="K327" s="11"/>
      <c r="L327" s="11"/>
      <c r="T327" s="16"/>
      <c r="U327" s="16"/>
      <c r="V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M327" s="16"/>
    </row>
    <row r="328" spans="1:39" ht="15.75" x14ac:dyDescent="0.25">
      <c r="D328" s="26"/>
      <c r="E328" s="26"/>
      <c r="F328" s="26"/>
      <c r="G328" s="26"/>
      <c r="H328" s="26"/>
      <c r="I328" s="26"/>
      <c r="J328" s="26"/>
      <c r="K328" s="26"/>
      <c r="L328" s="11"/>
      <c r="T328" s="16"/>
      <c r="U328" s="16"/>
      <c r="V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M328" s="16"/>
    </row>
    <row r="329" spans="1:39" ht="15.75" x14ac:dyDescent="0.25">
      <c r="D329" s="26"/>
      <c r="E329" s="26"/>
      <c r="F329" s="26"/>
      <c r="G329" s="26"/>
      <c r="H329" s="26"/>
      <c r="I329" s="26"/>
      <c r="J329" s="26"/>
      <c r="K329" s="26"/>
      <c r="L329" s="11"/>
      <c r="T329" s="16"/>
      <c r="U329" s="16"/>
      <c r="V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M329" s="16"/>
    </row>
    <row r="330" spans="1:39" ht="15.75" x14ac:dyDescent="0.25">
      <c r="D330" s="11"/>
      <c r="E330" s="11"/>
      <c r="F330" s="11"/>
      <c r="G330" s="11"/>
      <c r="H330" s="11"/>
      <c r="I330" s="11"/>
      <c r="J330" s="11"/>
      <c r="K330" s="11"/>
      <c r="L330" s="11"/>
      <c r="T330" s="16"/>
      <c r="U330" s="16"/>
      <c r="V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M330" s="16"/>
    </row>
    <row r="331" spans="1:39" ht="15.75" x14ac:dyDescent="0.25">
      <c r="A331" s="11"/>
      <c r="B331" s="17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T331" s="16"/>
      <c r="U331" s="16"/>
      <c r="V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M331" s="16"/>
    </row>
    <row r="332" spans="1:39" ht="15.75" x14ac:dyDescent="0.25">
      <c r="A332" s="11"/>
      <c r="B332" s="17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T332" s="16"/>
      <c r="U332" s="16"/>
      <c r="V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M332" s="16"/>
    </row>
    <row r="333" spans="1:39" ht="29.25" customHeight="1" x14ac:dyDescent="0.25">
      <c r="A333" s="11"/>
      <c r="B333" s="17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T333" s="16"/>
      <c r="U333" s="16"/>
      <c r="V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M333" s="16"/>
    </row>
    <row r="334" spans="1:39" ht="19.5" customHeight="1" x14ac:dyDescent="0.25">
      <c r="M334" s="16"/>
      <c r="N334" s="16"/>
      <c r="O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</row>
    <row r="335" spans="1:39" ht="15.75" x14ac:dyDescent="0.25">
      <c r="M335" s="16"/>
      <c r="N335" s="16"/>
      <c r="O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</row>
    <row r="336" spans="1:39" ht="15.75" x14ac:dyDescent="0.2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6"/>
      <c r="AC336" s="16"/>
      <c r="AD336" s="16"/>
      <c r="AE336" s="16"/>
      <c r="AF336" s="16"/>
      <c r="AG336" s="16"/>
    </row>
    <row r="337" spans="1:24" ht="15.75" x14ac:dyDescent="0.25">
      <c r="A337" s="19"/>
      <c r="B337" s="19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9"/>
      <c r="N337" s="19"/>
      <c r="O337" s="19"/>
      <c r="P337" s="16"/>
      <c r="Q337" s="16"/>
      <c r="R337" s="16"/>
      <c r="S337" s="19"/>
      <c r="T337" s="19"/>
      <c r="U337" s="19"/>
      <c r="V337" s="16"/>
      <c r="W337" s="16"/>
      <c r="X337" s="16"/>
    </row>
    <row r="338" spans="1:24" ht="15.75" x14ac:dyDescent="0.25">
      <c r="A338" s="15"/>
      <c r="B338" s="15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5"/>
      <c r="N338" s="15"/>
      <c r="O338" s="15"/>
      <c r="P338" s="16"/>
      <c r="Q338" s="16"/>
      <c r="R338" s="16"/>
      <c r="S338" s="15"/>
      <c r="T338" s="15"/>
      <c r="U338" s="15"/>
      <c r="V338" s="16"/>
      <c r="W338" s="16"/>
      <c r="X338" s="16"/>
    </row>
    <row r="339" spans="1:24" ht="15.75" x14ac:dyDescent="0.25">
      <c r="A339" s="15"/>
      <c r="B339" s="19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5"/>
      <c r="N339" s="15"/>
      <c r="O339" s="19"/>
      <c r="P339" s="16"/>
      <c r="Q339" s="16"/>
      <c r="R339" s="16"/>
      <c r="S339" s="15"/>
      <c r="T339" s="19"/>
      <c r="U339" s="19"/>
      <c r="V339" s="16"/>
      <c r="W339" s="16"/>
      <c r="X339" s="16"/>
    </row>
    <row r="340" spans="1:24" ht="15.75" x14ac:dyDescent="0.25">
      <c r="A340" s="15"/>
      <c r="B340" s="15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5"/>
      <c r="N340" s="15"/>
      <c r="O340" s="15"/>
      <c r="P340" s="16"/>
      <c r="Q340" s="16"/>
      <c r="R340" s="16"/>
      <c r="S340" s="15"/>
      <c r="T340" s="15"/>
      <c r="U340" s="15"/>
      <c r="V340" s="16"/>
      <c r="W340" s="16"/>
      <c r="X340" s="16"/>
    </row>
    <row r="341" spans="1:24" ht="15.75" x14ac:dyDescent="0.25">
      <c r="A341" s="15"/>
      <c r="B341" s="19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5"/>
      <c r="N341" s="15"/>
      <c r="O341" s="19"/>
      <c r="P341" s="16"/>
      <c r="Q341" s="16"/>
      <c r="R341" s="16"/>
      <c r="S341" s="15"/>
      <c r="T341" s="19"/>
      <c r="U341" s="19"/>
      <c r="V341" s="16"/>
      <c r="W341" s="16"/>
      <c r="X341" s="16"/>
    </row>
    <row r="342" spans="1:24" ht="15.75" x14ac:dyDescent="0.25">
      <c r="A342" s="15"/>
      <c r="B342" s="15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5"/>
      <c r="N342" s="15"/>
      <c r="O342" s="15"/>
      <c r="P342" s="16"/>
      <c r="Q342" s="16"/>
      <c r="R342" s="16"/>
      <c r="S342" s="15"/>
      <c r="T342" s="15"/>
      <c r="U342" s="15"/>
      <c r="V342" s="16"/>
      <c r="W342" s="16"/>
      <c r="X342" s="16"/>
    </row>
    <row r="343" spans="1:24" ht="15.75" x14ac:dyDescent="0.25">
      <c r="A343" s="15"/>
      <c r="B343" s="19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5"/>
      <c r="N343" s="15"/>
      <c r="O343" s="19"/>
      <c r="P343" s="16"/>
      <c r="Q343" s="16"/>
      <c r="R343" s="16"/>
      <c r="S343" s="15"/>
      <c r="T343" s="19"/>
      <c r="U343" s="19"/>
      <c r="V343" s="16"/>
      <c r="W343" s="16"/>
      <c r="X343" s="16"/>
    </row>
    <row r="344" spans="1:24" ht="15.75" x14ac:dyDescent="0.25">
      <c r="A344" s="15"/>
      <c r="B344" s="15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5"/>
      <c r="N344" s="15"/>
      <c r="O344" s="15"/>
      <c r="P344" s="16"/>
      <c r="Q344" s="16"/>
      <c r="R344" s="16"/>
      <c r="S344" s="15"/>
      <c r="T344" s="15"/>
      <c r="U344" s="15"/>
      <c r="V344" s="16"/>
      <c r="W344" s="16"/>
      <c r="X344" s="16"/>
    </row>
    <row r="345" spans="1:24" ht="15.75" x14ac:dyDescent="0.25">
      <c r="A345" s="15"/>
      <c r="B345" s="20"/>
      <c r="C345" s="21"/>
      <c r="D345" s="21"/>
      <c r="E345" s="21"/>
      <c r="F345" s="21"/>
      <c r="G345" s="21"/>
      <c r="H345" s="21"/>
      <c r="I345" s="21"/>
      <c r="J345" s="21"/>
      <c r="K345" s="21"/>
      <c r="L345" s="22"/>
      <c r="M345" s="15"/>
      <c r="N345" s="15"/>
      <c r="O345" s="20"/>
      <c r="P345" s="21"/>
      <c r="Q345" s="22"/>
      <c r="R345" s="22"/>
      <c r="S345" s="15"/>
      <c r="T345" s="20"/>
      <c r="U345" s="20"/>
      <c r="V345" s="21"/>
      <c r="W345" s="22"/>
      <c r="X345" s="22"/>
    </row>
    <row r="346" spans="1:24" ht="15.75" x14ac:dyDescent="0.25">
      <c r="A346" s="16"/>
      <c r="B346" s="23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16"/>
      <c r="N346" s="16"/>
      <c r="O346" s="23"/>
      <c r="P346" s="22"/>
      <c r="Q346" s="22"/>
      <c r="R346" s="22"/>
      <c r="S346" s="16"/>
      <c r="T346" s="23"/>
      <c r="U346" s="23"/>
      <c r="V346" s="22"/>
      <c r="W346" s="22"/>
      <c r="X346" s="22"/>
    </row>
    <row r="347" spans="1:24" ht="15.75" x14ac:dyDescent="0.25">
      <c r="A347" s="16"/>
      <c r="B347" s="23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16"/>
      <c r="N347" s="16"/>
      <c r="O347" s="23"/>
      <c r="P347" s="22"/>
      <c r="Q347" s="22"/>
      <c r="R347" s="22"/>
      <c r="S347" s="16"/>
      <c r="T347" s="23"/>
      <c r="U347" s="23"/>
      <c r="V347" s="22"/>
      <c r="W347" s="22"/>
      <c r="X347" s="22"/>
    </row>
    <row r="348" spans="1:24" ht="15.75" x14ac:dyDescent="0.25">
      <c r="A348" s="16"/>
      <c r="B348" s="23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16"/>
      <c r="N348" s="16"/>
      <c r="O348" s="23"/>
      <c r="P348" s="22"/>
      <c r="Q348" s="22"/>
      <c r="R348" s="22"/>
      <c r="S348" s="16"/>
      <c r="T348" s="23"/>
      <c r="U348" s="23"/>
      <c r="V348" s="22"/>
      <c r="W348" s="22"/>
      <c r="X348" s="22"/>
    </row>
    <row r="349" spans="1:24" ht="15.75" x14ac:dyDescent="0.25">
      <c r="A349" s="16"/>
      <c r="B349" s="23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16"/>
      <c r="N349" s="16"/>
      <c r="O349" s="23"/>
      <c r="P349" s="22"/>
      <c r="Q349" s="22"/>
      <c r="R349" s="22"/>
      <c r="S349" s="16"/>
      <c r="T349" s="23"/>
      <c r="U349" s="23"/>
      <c r="V349" s="22"/>
      <c r="W349" s="22"/>
      <c r="X349" s="22"/>
    </row>
    <row r="350" spans="1:24" ht="15.75" x14ac:dyDescent="0.25">
      <c r="A350" s="16"/>
      <c r="B350" s="23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16"/>
      <c r="N350" s="16"/>
      <c r="O350" s="23"/>
      <c r="P350" s="22"/>
      <c r="Q350" s="22"/>
      <c r="R350" s="22"/>
      <c r="S350" s="16"/>
      <c r="T350" s="23"/>
      <c r="U350" s="23"/>
      <c r="V350" s="22"/>
      <c r="W350" s="22"/>
      <c r="X350" s="22"/>
    </row>
    <row r="351" spans="1:24" ht="15.75" x14ac:dyDescent="0.25">
      <c r="A351" s="16"/>
      <c r="B351" s="23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16"/>
      <c r="N351" s="16"/>
      <c r="O351" s="23"/>
      <c r="P351" s="22"/>
      <c r="Q351" s="22"/>
      <c r="R351" s="22"/>
      <c r="S351" s="16"/>
      <c r="T351" s="23"/>
      <c r="U351" s="23"/>
      <c r="V351" s="22"/>
      <c r="W351" s="22"/>
      <c r="X351" s="22"/>
    </row>
    <row r="352" spans="1:24" ht="15.75" x14ac:dyDescent="0.25">
      <c r="A352" s="16"/>
      <c r="B352" s="23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16"/>
      <c r="N352" s="16"/>
      <c r="O352" s="23"/>
      <c r="P352" s="22"/>
      <c r="Q352" s="22"/>
      <c r="R352" s="22"/>
      <c r="S352" s="16"/>
      <c r="T352" s="23"/>
      <c r="U352" s="23"/>
      <c r="V352" s="22"/>
      <c r="W352" s="22"/>
      <c r="X352" s="22"/>
    </row>
    <row r="353" spans="1:24" ht="15.75" x14ac:dyDescent="0.25">
      <c r="A353" s="16"/>
      <c r="B353" s="23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16"/>
      <c r="N353" s="16"/>
      <c r="O353" s="23"/>
      <c r="P353" s="22"/>
      <c r="Q353" s="22"/>
      <c r="R353" s="22"/>
      <c r="S353" s="16"/>
      <c r="T353" s="23"/>
      <c r="U353" s="23"/>
      <c r="V353" s="22"/>
      <c r="W353" s="22"/>
      <c r="X353" s="22"/>
    </row>
    <row r="354" spans="1:24" ht="15.75" x14ac:dyDescent="0.25">
      <c r="A354" s="16"/>
      <c r="B354" s="23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16"/>
      <c r="N354" s="16"/>
      <c r="O354" s="23"/>
      <c r="P354" s="22"/>
      <c r="Q354" s="22"/>
      <c r="R354" s="22"/>
      <c r="S354" s="16"/>
      <c r="T354" s="23"/>
      <c r="U354" s="23"/>
      <c r="V354" s="22"/>
      <c r="W354" s="22"/>
      <c r="X354" s="22"/>
    </row>
    <row r="355" spans="1:24" ht="15.75" x14ac:dyDescent="0.25">
      <c r="A355" s="16"/>
      <c r="B355" s="23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16"/>
      <c r="N355" s="16"/>
      <c r="O355" s="23"/>
      <c r="P355" s="22"/>
      <c r="Q355" s="22"/>
      <c r="R355" s="22"/>
      <c r="S355" s="16"/>
      <c r="T355" s="23"/>
      <c r="U355" s="23"/>
      <c r="V355" s="22"/>
      <c r="W355" s="22"/>
      <c r="X355" s="22"/>
    </row>
    <row r="356" spans="1:24" ht="15.75" x14ac:dyDescent="0.25">
      <c r="A356" s="16"/>
      <c r="B356" s="23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16"/>
      <c r="N356" s="16"/>
      <c r="O356" s="23"/>
      <c r="P356" s="22"/>
      <c r="Q356" s="22"/>
      <c r="R356" s="22"/>
      <c r="S356" s="16"/>
      <c r="T356" s="23"/>
      <c r="U356" s="23"/>
      <c r="V356" s="22"/>
      <c r="W356" s="22"/>
      <c r="X356" s="22"/>
    </row>
    <row r="357" spans="1:24" ht="15.75" x14ac:dyDescent="0.25">
      <c r="A357" s="16"/>
      <c r="B357" s="23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16"/>
      <c r="N357" s="16"/>
      <c r="O357" s="23"/>
      <c r="P357" s="22"/>
      <c r="Q357" s="22"/>
      <c r="R357" s="22"/>
      <c r="S357" s="16"/>
      <c r="T357" s="23"/>
      <c r="U357" s="23"/>
      <c r="V357" s="22"/>
      <c r="W357" s="22"/>
      <c r="X357" s="22"/>
    </row>
    <row r="358" spans="1:24" ht="15.75" x14ac:dyDescent="0.25">
      <c r="A358" s="16"/>
      <c r="B358" s="23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16"/>
      <c r="N358" s="16"/>
      <c r="O358" s="23"/>
      <c r="P358" s="22"/>
      <c r="Q358" s="22"/>
      <c r="R358" s="22"/>
      <c r="S358" s="16"/>
      <c r="T358" s="23"/>
      <c r="U358" s="23"/>
      <c r="V358" s="22"/>
      <c r="W358" s="22"/>
      <c r="X358" s="22"/>
    </row>
    <row r="359" spans="1:24" ht="15.75" x14ac:dyDescent="0.25">
      <c r="A359" s="16"/>
      <c r="B359" s="23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16"/>
      <c r="N359" s="16"/>
      <c r="O359" s="23"/>
      <c r="P359" s="22"/>
      <c r="Q359" s="22"/>
      <c r="R359" s="22"/>
      <c r="S359" s="16"/>
      <c r="T359" s="23"/>
      <c r="U359" s="23"/>
      <c r="V359" s="22"/>
      <c r="W359" s="22"/>
      <c r="X359" s="22"/>
    </row>
    <row r="360" spans="1:24" ht="15.75" x14ac:dyDescent="0.25">
      <c r="A360" s="16"/>
      <c r="B360" s="23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16"/>
      <c r="N360" s="16"/>
      <c r="O360" s="23"/>
      <c r="P360" s="22"/>
      <c r="Q360" s="22"/>
      <c r="R360" s="22"/>
      <c r="S360" s="16"/>
      <c r="T360" s="23"/>
      <c r="U360" s="23"/>
      <c r="V360" s="22"/>
      <c r="W360" s="22"/>
      <c r="X360" s="22"/>
    </row>
    <row r="361" spans="1:24" ht="15.75" x14ac:dyDescent="0.25">
      <c r="A361" s="16"/>
      <c r="B361" s="23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16"/>
      <c r="N361" s="16"/>
      <c r="O361" s="23"/>
      <c r="P361" s="22"/>
      <c r="Q361" s="22"/>
      <c r="R361" s="22"/>
      <c r="S361" s="16"/>
      <c r="T361" s="23"/>
      <c r="U361" s="23"/>
      <c r="V361" s="22"/>
      <c r="W361" s="22"/>
      <c r="X361" s="22"/>
    </row>
    <row r="362" spans="1:24" ht="15.75" x14ac:dyDescent="0.25">
      <c r="A362" s="16"/>
      <c r="B362" s="23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16"/>
      <c r="N362" s="16"/>
      <c r="O362" s="23"/>
      <c r="P362" s="22"/>
      <c r="Q362" s="22"/>
      <c r="R362" s="22"/>
      <c r="S362" s="16"/>
      <c r="T362" s="23"/>
      <c r="U362" s="23"/>
      <c r="V362" s="22"/>
      <c r="W362" s="22"/>
      <c r="X362" s="22"/>
    </row>
    <row r="363" spans="1:24" ht="15.75" x14ac:dyDescent="0.25">
      <c r="A363" s="16"/>
      <c r="B363" s="23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16"/>
      <c r="N363" s="16"/>
      <c r="O363" s="23"/>
      <c r="P363" s="22"/>
      <c r="Q363" s="22"/>
      <c r="R363" s="22"/>
      <c r="S363" s="16"/>
      <c r="T363" s="23"/>
      <c r="U363" s="23"/>
      <c r="V363" s="22"/>
      <c r="W363" s="22"/>
      <c r="X363" s="22"/>
    </row>
    <row r="364" spans="1:24" ht="15.75" x14ac:dyDescent="0.25">
      <c r="A364" s="16"/>
      <c r="B364" s="23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16"/>
      <c r="N364" s="16"/>
      <c r="O364" s="23"/>
      <c r="P364" s="22"/>
      <c r="Q364" s="22"/>
      <c r="R364" s="22"/>
      <c r="S364" s="16"/>
      <c r="T364" s="23"/>
      <c r="U364" s="23"/>
      <c r="V364" s="22"/>
      <c r="W364" s="22"/>
      <c r="X364" s="22"/>
    </row>
    <row r="365" spans="1:24" ht="15.75" x14ac:dyDescent="0.25">
      <c r="A365" s="16"/>
      <c r="B365" s="23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16"/>
      <c r="N365" s="16"/>
      <c r="O365" s="23"/>
      <c r="P365" s="22"/>
      <c r="Q365" s="22"/>
      <c r="R365" s="22"/>
      <c r="S365" s="16"/>
      <c r="T365" s="23"/>
      <c r="U365" s="23"/>
      <c r="V365" s="22"/>
      <c r="W365" s="22"/>
      <c r="X365" s="22"/>
    </row>
    <row r="366" spans="1:24" ht="15.75" x14ac:dyDescent="0.25">
      <c r="A366" s="16"/>
      <c r="B366" s="23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16"/>
      <c r="N366" s="16"/>
      <c r="O366" s="23"/>
      <c r="P366" s="22"/>
      <c r="Q366" s="22"/>
      <c r="R366" s="22"/>
      <c r="S366" s="16"/>
      <c r="T366" s="23"/>
      <c r="U366" s="23"/>
      <c r="V366" s="22"/>
      <c r="W366" s="22"/>
      <c r="X366" s="22"/>
    </row>
    <row r="367" spans="1:24" ht="15.75" x14ac:dyDescent="0.25">
      <c r="A367" s="16"/>
      <c r="B367" s="23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16"/>
      <c r="N367" s="16"/>
      <c r="O367" s="23"/>
      <c r="P367" s="22"/>
      <c r="Q367" s="22"/>
      <c r="R367" s="22"/>
      <c r="S367" s="16"/>
      <c r="T367" s="23"/>
      <c r="U367" s="23"/>
      <c r="V367" s="22"/>
      <c r="W367" s="22"/>
      <c r="X367" s="22"/>
    </row>
    <row r="368" spans="1:24" ht="15.75" x14ac:dyDescent="0.25">
      <c r="A368" s="16"/>
      <c r="B368" s="23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16"/>
      <c r="N368" s="16"/>
      <c r="O368" s="23"/>
      <c r="P368" s="22"/>
      <c r="Q368" s="22"/>
      <c r="R368" s="22"/>
      <c r="S368" s="16"/>
      <c r="T368" s="23"/>
      <c r="U368" s="23"/>
      <c r="V368" s="22"/>
      <c r="W368" s="22"/>
      <c r="X368" s="22"/>
    </row>
    <row r="369" spans="1:24" ht="15.75" x14ac:dyDescent="0.25">
      <c r="A369" s="16"/>
      <c r="B369" s="23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16"/>
      <c r="N369" s="16"/>
      <c r="O369" s="23"/>
      <c r="P369" s="22"/>
      <c r="Q369" s="22"/>
      <c r="R369" s="22"/>
      <c r="S369" s="16"/>
      <c r="T369" s="23"/>
      <c r="U369" s="23"/>
      <c r="V369" s="22"/>
      <c r="W369" s="22"/>
      <c r="X369" s="22"/>
    </row>
    <row r="370" spans="1:24" ht="15.75" x14ac:dyDescent="0.25">
      <c r="A370" s="16"/>
      <c r="B370" s="23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16"/>
      <c r="N370" s="16"/>
      <c r="O370" s="23"/>
      <c r="P370" s="22"/>
      <c r="Q370" s="22"/>
      <c r="R370" s="22"/>
      <c r="S370" s="16"/>
      <c r="T370" s="23"/>
      <c r="U370" s="23"/>
      <c r="V370" s="22"/>
      <c r="W370" s="22"/>
      <c r="X370" s="22"/>
    </row>
    <row r="371" spans="1:24" ht="15.75" x14ac:dyDescent="0.25">
      <c r="A371" s="16"/>
      <c r="B371" s="23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16"/>
      <c r="N371" s="16"/>
      <c r="O371" s="23"/>
      <c r="P371" s="22"/>
      <c r="Q371" s="22"/>
      <c r="R371" s="22"/>
      <c r="S371" s="16"/>
      <c r="T371" s="23"/>
      <c r="U371" s="23"/>
      <c r="V371" s="22"/>
      <c r="W371" s="22"/>
      <c r="X371" s="22"/>
    </row>
    <row r="372" spans="1:24" ht="15.75" x14ac:dyDescent="0.25">
      <c r="A372" s="16"/>
      <c r="B372" s="23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16"/>
      <c r="N372" s="16"/>
      <c r="O372" s="23"/>
      <c r="P372" s="22"/>
      <c r="Q372" s="22"/>
      <c r="R372" s="22"/>
      <c r="S372" s="16"/>
      <c r="T372" s="23"/>
      <c r="U372" s="23"/>
      <c r="V372" s="22"/>
      <c r="W372" s="22"/>
      <c r="X372" s="22"/>
    </row>
    <row r="373" spans="1:24" ht="15.75" x14ac:dyDescent="0.25">
      <c r="A373" s="16"/>
      <c r="B373" s="23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16"/>
      <c r="N373" s="16"/>
      <c r="O373" s="23"/>
      <c r="P373" s="22"/>
      <c r="Q373" s="22"/>
      <c r="R373" s="22"/>
      <c r="S373" s="16"/>
      <c r="T373" s="23"/>
      <c r="U373" s="23"/>
      <c r="V373" s="22"/>
      <c r="W373" s="22"/>
      <c r="X373" s="22"/>
    </row>
    <row r="374" spans="1:24" ht="15.75" x14ac:dyDescent="0.25">
      <c r="A374" s="16"/>
      <c r="B374" s="23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16"/>
      <c r="N374" s="16"/>
      <c r="O374" s="23"/>
      <c r="P374" s="22"/>
      <c r="Q374" s="22"/>
      <c r="R374" s="22"/>
      <c r="S374" s="16"/>
      <c r="T374" s="23"/>
      <c r="U374" s="23"/>
      <c r="V374" s="22"/>
      <c r="W374" s="22"/>
      <c r="X374" s="22"/>
    </row>
    <row r="375" spans="1:24" ht="15.75" x14ac:dyDescent="0.25">
      <c r="A375" s="16"/>
      <c r="B375" s="23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16"/>
      <c r="N375" s="16"/>
      <c r="O375" s="23"/>
      <c r="P375" s="22"/>
      <c r="Q375" s="22"/>
      <c r="R375" s="22"/>
      <c r="S375" s="16"/>
      <c r="T375" s="23"/>
      <c r="U375" s="23"/>
      <c r="V375" s="22"/>
      <c r="W375" s="22"/>
      <c r="X375" s="22"/>
    </row>
    <row r="376" spans="1:24" ht="15.75" x14ac:dyDescent="0.25">
      <c r="A376" s="16"/>
      <c r="B376" s="23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16"/>
      <c r="N376" s="16"/>
      <c r="O376" s="23"/>
      <c r="P376" s="22"/>
      <c r="Q376" s="22"/>
      <c r="R376" s="22"/>
      <c r="S376" s="16"/>
      <c r="T376" s="23"/>
      <c r="U376" s="23"/>
      <c r="V376" s="22"/>
      <c r="W376" s="22"/>
      <c r="X376" s="22"/>
    </row>
    <row r="377" spans="1:24" ht="15.75" x14ac:dyDescent="0.25">
      <c r="A377" s="16"/>
      <c r="B377" s="23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16"/>
      <c r="N377" s="16"/>
      <c r="O377" s="23"/>
      <c r="P377" s="22"/>
      <c r="Q377" s="22"/>
      <c r="R377" s="22"/>
      <c r="S377" s="16"/>
      <c r="T377" s="23"/>
      <c r="U377" s="23"/>
      <c r="V377" s="22"/>
      <c r="W377" s="22"/>
      <c r="X377" s="22"/>
    </row>
    <row r="378" spans="1:24" ht="15.75" x14ac:dyDescent="0.25">
      <c r="A378" s="16"/>
      <c r="B378" s="23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16"/>
      <c r="N378" s="16"/>
      <c r="O378" s="23"/>
      <c r="P378" s="22"/>
      <c r="Q378" s="22"/>
      <c r="R378" s="22"/>
      <c r="S378" s="16"/>
      <c r="T378" s="23"/>
      <c r="U378" s="23"/>
      <c r="V378" s="22"/>
      <c r="W378" s="22"/>
      <c r="X378" s="22"/>
    </row>
    <row r="379" spans="1:24" ht="15.75" x14ac:dyDescent="0.25">
      <c r="A379" s="16"/>
      <c r="B379" s="23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16"/>
      <c r="N379" s="16"/>
      <c r="O379" s="23"/>
      <c r="P379" s="22"/>
      <c r="Q379" s="22"/>
      <c r="R379" s="22"/>
      <c r="S379" s="16"/>
      <c r="T379" s="23"/>
      <c r="U379" s="23"/>
      <c r="V379" s="22"/>
      <c r="W379" s="22"/>
      <c r="X379" s="22"/>
    </row>
    <row r="380" spans="1:24" ht="15.75" x14ac:dyDescent="0.25">
      <c r="A380" s="16"/>
      <c r="B380" s="23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16"/>
      <c r="N380" s="16"/>
      <c r="O380" s="23"/>
      <c r="P380" s="22"/>
      <c r="Q380" s="22"/>
      <c r="R380" s="22"/>
      <c r="S380" s="16"/>
      <c r="T380" s="23"/>
      <c r="U380" s="23"/>
      <c r="V380" s="22"/>
      <c r="W380" s="22"/>
      <c r="X380" s="22"/>
    </row>
    <row r="381" spans="1:24" ht="15.75" x14ac:dyDescent="0.25">
      <c r="A381" s="16"/>
      <c r="B381" s="23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16"/>
      <c r="N381" s="16"/>
      <c r="O381" s="23"/>
      <c r="P381" s="22"/>
      <c r="Q381" s="22"/>
      <c r="R381" s="22"/>
      <c r="S381" s="16"/>
      <c r="T381" s="23"/>
      <c r="U381" s="23"/>
      <c r="V381" s="22"/>
      <c r="W381" s="22"/>
      <c r="X381" s="22"/>
    </row>
    <row r="382" spans="1:24" ht="15.75" x14ac:dyDescent="0.25">
      <c r="A382" s="16"/>
      <c r="B382" s="23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16"/>
      <c r="N382" s="16"/>
      <c r="O382" s="23"/>
      <c r="P382" s="22"/>
      <c r="Q382" s="22"/>
      <c r="R382" s="22"/>
      <c r="S382" s="16"/>
      <c r="T382" s="23"/>
      <c r="U382" s="23"/>
      <c r="V382" s="22"/>
      <c r="W382" s="22"/>
      <c r="X382" s="22"/>
    </row>
    <row r="383" spans="1:24" ht="15.75" x14ac:dyDescent="0.25">
      <c r="A383" s="16"/>
      <c r="B383" s="23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16"/>
      <c r="N383" s="16"/>
      <c r="O383" s="23"/>
      <c r="P383" s="22"/>
      <c r="Q383" s="22"/>
      <c r="R383" s="22"/>
      <c r="S383" s="16"/>
      <c r="T383" s="23"/>
      <c r="U383" s="23"/>
      <c r="V383" s="22"/>
      <c r="W383" s="22"/>
      <c r="X383" s="22"/>
    </row>
    <row r="384" spans="1:24" ht="15.75" x14ac:dyDescent="0.25">
      <c r="A384" s="16"/>
      <c r="B384" s="23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16"/>
      <c r="N384" s="16"/>
      <c r="O384" s="23"/>
      <c r="P384" s="22"/>
      <c r="Q384" s="22"/>
      <c r="R384" s="22"/>
      <c r="S384" s="16"/>
      <c r="T384" s="23"/>
      <c r="U384" s="23"/>
      <c r="V384" s="22"/>
      <c r="W384" s="22"/>
      <c r="X384" s="22"/>
    </row>
    <row r="385" spans="1:24" ht="15.75" x14ac:dyDescent="0.25">
      <c r="A385" s="16"/>
      <c r="B385" s="23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16"/>
      <c r="N385" s="16"/>
      <c r="O385" s="23"/>
      <c r="P385" s="22"/>
      <c r="Q385" s="22"/>
      <c r="R385" s="22"/>
      <c r="S385" s="16"/>
      <c r="T385" s="23"/>
      <c r="U385" s="23"/>
      <c r="V385" s="22"/>
      <c r="W385" s="22"/>
      <c r="X385" s="22"/>
    </row>
    <row r="386" spans="1:24" ht="15.75" x14ac:dyDescent="0.25">
      <c r="A386" s="16"/>
      <c r="B386" s="23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16"/>
      <c r="N386" s="16"/>
      <c r="O386" s="23"/>
      <c r="P386" s="22"/>
      <c r="Q386" s="22"/>
      <c r="R386" s="22"/>
      <c r="S386" s="16"/>
      <c r="T386" s="23"/>
      <c r="U386" s="23"/>
      <c r="V386" s="22"/>
      <c r="W386" s="22"/>
      <c r="X386" s="22"/>
    </row>
    <row r="387" spans="1:24" ht="15.75" x14ac:dyDescent="0.25">
      <c r="A387" s="16"/>
      <c r="B387" s="23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16"/>
      <c r="N387" s="16"/>
      <c r="O387" s="23"/>
      <c r="P387" s="22"/>
      <c r="Q387" s="22"/>
      <c r="R387" s="22"/>
      <c r="S387" s="16"/>
      <c r="T387" s="23"/>
      <c r="U387" s="23"/>
      <c r="V387" s="22"/>
      <c r="W387" s="22"/>
      <c r="X387" s="22"/>
    </row>
    <row r="388" spans="1:24" ht="15.75" x14ac:dyDescent="0.25">
      <c r="A388" s="16"/>
      <c r="B388" s="23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16"/>
      <c r="N388" s="16"/>
      <c r="O388" s="23"/>
      <c r="P388" s="22"/>
      <c r="Q388" s="22"/>
      <c r="R388" s="22"/>
      <c r="S388" s="16"/>
      <c r="T388" s="23"/>
      <c r="U388" s="23"/>
      <c r="V388" s="22"/>
      <c r="W388" s="22"/>
      <c r="X388" s="22"/>
    </row>
    <row r="389" spans="1:24" ht="15.75" x14ac:dyDescent="0.25">
      <c r="A389" s="16"/>
      <c r="B389" s="23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16"/>
      <c r="N389" s="16"/>
      <c r="O389" s="23"/>
      <c r="P389" s="22"/>
      <c r="Q389" s="22"/>
      <c r="R389" s="22"/>
      <c r="S389" s="16"/>
      <c r="T389" s="23"/>
      <c r="U389" s="23"/>
      <c r="V389" s="22"/>
      <c r="W389" s="22"/>
      <c r="X389" s="22"/>
    </row>
    <row r="390" spans="1:24" ht="15.75" x14ac:dyDescent="0.25">
      <c r="A390" s="16"/>
      <c r="B390" s="23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16"/>
      <c r="N390" s="16"/>
      <c r="O390" s="23"/>
      <c r="P390" s="22"/>
      <c r="Q390" s="22"/>
      <c r="R390" s="22"/>
      <c r="S390" s="16"/>
      <c r="T390" s="23"/>
      <c r="U390" s="23"/>
      <c r="V390" s="22"/>
      <c r="W390" s="22"/>
      <c r="X390" s="22"/>
    </row>
    <row r="391" spans="1:24" ht="15.75" x14ac:dyDescent="0.25">
      <c r="A391" s="16"/>
      <c r="B391" s="23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16"/>
      <c r="N391" s="16"/>
      <c r="O391" s="23"/>
      <c r="P391" s="22"/>
      <c r="Q391" s="22"/>
      <c r="R391" s="22"/>
      <c r="S391" s="16"/>
      <c r="T391" s="23"/>
      <c r="U391" s="23"/>
      <c r="V391" s="22"/>
      <c r="W391" s="22"/>
      <c r="X391" s="22"/>
    </row>
    <row r="392" spans="1:24" ht="15.75" x14ac:dyDescent="0.25">
      <c r="A392" s="16"/>
      <c r="B392" s="23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16"/>
      <c r="N392" s="16"/>
      <c r="O392" s="23"/>
      <c r="P392" s="22"/>
      <c r="Q392" s="22"/>
      <c r="R392" s="22"/>
      <c r="S392" s="16"/>
      <c r="T392" s="23"/>
      <c r="U392" s="23"/>
      <c r="V392" s="22"/>
      <c r="W392" s="22"/>
      <c r="X392" s="22"/>
    </row>
    <row r="393" spans="1:24" ht="15.75" x14ac:dyDescent="0.25">
      <c r="A393" s="16"/>
      <c r="B393" s="23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16"/>
      <c r="N393" s="16"/>
      <c r="O393" s="23"/>
      <c r="P393" s="22"/>
      <c r="Q393" s="22"/>
      <c r="R393" s="22"/>
      <c r="S393" s="16"/>
      <c r="T393" s="23"/>
      <c r="U393" s="23"/>
      <c r="V393" s="22"/>
      <c r="W393" s="22"/>
      <c r="X393" s="22"/>
    </row>
    <row r="394" spans="1:24" ht="15.75" x14ac:dyDescent="0.25">
      <c r="A394" s="16"/>
      <c r="B394" s="23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16"/>
      <c r="N394" s="16"/>
      <c r="O394" s="23"/>
      <c r="P394" s="22"/>
      <c r="Q394" s="22"/>
      <c r="R394" s="22"/>
      <c r="S394" s="16"/>
      <c r="T394" s="23"/>
      <c r="U394" s="23"/>
      <c r="V394" s="22"/>
      <c r="W394" s="22"/>
      <c r="X394" s="22"/>
    </row>
    <row r="395" spans="1:24" ht="15.75" x14ac:dyDescent="0.25">
      <c r="A395" s="16"/>
      <c r="B395" s="23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16"/>
      <c r="N395" s="16"/>
      <c r="O395" s="23"/>
      <c r="P395" s="22"/>
      <c r="Q395" s="22"/>
      <c r="R395" s="22"/>
      <c r="S395" s="16"/>
      <c r="T395" s="23"/>
      <c r="U395" s="23"/>
      <c r="V395" s="22"/>
      <c r="W395" s="22"/>
      <c r="X395" s="22"/>
    </row>
    <row r="445" spans="41:41" x14ac:dyDescent="0.25">
      <c r="AO445" s="10"/>
    </row>
    <row r="520" spans="41:41" ht="19.5" x14ac:dyDescent="0.3">
      <c r="AO520" s="12"/>
    </row>
    <row r="521" spans="41:41" ht="19.5" x14ac:dyDescent="0.3">
      <c r="AO521" s="12"/>
    </row>
    <row r="522" spans="41:41" ht="19.5" x14ac:dyDescent="0.3">
      <c r="AO522" s="12"/>
    </row>
    <row r="523" spans="41:41" ht="19.5" x14ac:dyDescent="0.3">
      <c r="AO523" s="12"/>
    </row>
    <row r="524" spans="41:41" ht="19.5" x14ac:dyDescent="0.3">
      <c r="AO524" s="12"/>
    </row>
    <row r="525" spans="41:41" ht="19.5" x14ac:dyDescent="0.3">
      <c r="AO525" s="12"/>
    </row>
    <row r="526" spans="41:41" ht="19.5" x14ac:dyDescent="0.3">
      <c r="AO526" s="12"/>
    </row>
    <row r="527" spans="41:41" ht="15.75" x14ac:dyDescent="0.25">
      <c r="AO527" s="15"/>
    </row>
    <row r="528" spans="41:41" ht="15.75" x14ac:dyDescent="0.25">
      <c r="AO528" s="15"/>
    </row>
    <row r="529" spans="41:41" ht="15.75" x14ac:dyDescent="0.25">
      <c r="AO529" s="16"/>
    </row>
    <row r="530" spans="41:41" ht="15.75" x14ac:dyDescent="0.25">
      <c r="AO530" s="16"/>
    </row>
    <row r="531" spans="41:41" ht="15.75" x14ac:dyDescent="0.25">
      <c r="AO531" s="15"/>
    </row>
    <row r="532" spans="41:41" ht="15.75" x14ac:dyDescent="0.25">
      <c r="AO532" s="15"/>
    </row>
    <row r="533" spans="41:41" ht="15.75" x14ac:dyDescent="0.25">
      <c r="AO533" s="16"/>
    </row>
    <row r="534" spans="41:41" ht="15.75" x14ac:dyDescent="0.25">
      <c r="AO534" s="16"/>
    </row>
    <row r="535" spans="41:41" ht="15.75" x14ac:dyDescent="0.25">
      <c r="AO535" s="16"/>
    </row>
    <row r="536" spans="41:41" ht="15.75" x14ac:dyDescent="0.25">
      <c r="AO536" s="16"/>
    </row>
    <row r="537" spans="41:41" ht="15.75" x14ac:dyDescent="0.25">
      <c r="AO537" s="16"/>
    </row>
    <row r="538" spans="41:41" ht="15.75" x14ac:dyDescent="0.25">
      <c r="AO538" s="16"/>
    </row>
    <row r="539" spans="41:41" ht="15.75" x14ac:dyDescent="0.25">
      <c r="AO539" s="16"/>
    </row>
    <row r="540" spans="41:41" ht="15.75" x14ac:dyDescent="0.25">
      <c r="AO540" s="16"/>
    </row>
    <row r="541" spans="41:41" ht="15.75" x14ac:dyDescent="0.25">
      <c r="AO541" s="16"/>
    </row>
    <row r="542" spans="41:41" ht="15.75" x14ac:dyDescent="0.25">
      <c r="AO542" s="16"/>
    </row>
    <row r="543" spans="41:41" ht="15.75" x14ac:dyDescent="0.25">
      <c r="AO543" s="16"/>
    </row>
    <row r="544" spans="41:41" ht="15.75" x14ac:dyDescent="0.25">
      <c r="AO544" s="16"/>
    </row>
  </sheetData>
  <mergeCells count="33">
    <mergeCell ref="AT2:AW3"/>
    <mergeCell ref="AY2:AZ3"/>
    <mergeCell ref="T315:V315"/>
    <mergeCell ref="W315:Y315"/>
    <mergeCell ref="Z315:AB315"/>
    <mergeCell ref="AC315:AH315"/>
    <mergeCell ref="T313:V313"/>
    <mergeCell ref="W313:Y313"/>
    <mergeCell ref="Z313:AB313"/>
    <mergeCell ref="AC313:AH313"/>
    <mergeCell ref="AL96:AN101"/>
    <mergeCell ref="AL190:AN195"/>
    <mergeCell ref="AT18:AW19"/>
    <mergeCell ref="AT34:AW35"/>
    <mergeCell ref="AC309:AH309"/>
    <mergeCell ref="AK2:AN7"/>
    <mergeCell ref="T312:V312"/>
    <mergeCell ref="W312:Y312"/>
    <mergeCell ref="Z312:AB312"/>
    <mergeCell ref="AC312:AH312"/>
    <mergeCell ref="T311:V311"/>
    <mergeCell ref="W311:Y311"/>
    <mergeCell ref="Z311:AB311"/>
    <mergeCell ref="AC311:AH311"/>
    <mergeCell ref="AS118:BF118"/>
    <mergeCell ref="AP114:AR114"/>
    <mergeCell ref="T310:V310"/>
    <mergeCell ref="W310:Y310"/>
    <mergeCell ref="Z310:AB310"/>
    <mergeCell ref="AC310:AH310"/>
    <mergeCell ref="T309:V309"/>
    <mergeCell ref="W309:Y309"/>
    <mergeCell ref="Z309:AB309"/>
  </mergeCells>
  <pageMargins left="0.511811024" right="0.511811024" top="0.78740157499999996" bottom="0.78740157499999996" header="0.31496062000000002" footer="0.31496062000000002"/>
  <pageSetup paperSize="9" fitToWidth="0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S49"/>
  <sheetViews>
    <sheetView showGridLines="0" showRowColHeaders="0" tabSelected="1" showWhiteSpace="0" topLeftCell="C2" zoomScale="70" zoomScaleNormal="70" zoomScaleSheetLayoutView="100" workbookViewId="0">
      <selection activeCell="P13" sqref="P13"/>
    </sheetView>
  </sheetViews>
  <sheetFormatPr defaultColWidth="0" defaultRowHeight="15" zeroHeight="1" x14ac:dyDescent="0.25"/>
  <cols>
    <col min="1" max="1" width="9.140625" hidden="1" customWidth="1"/>
    <col min="2" max="2" width="1.28515625" hidden="1" customWidth="1"/>
    <col min="3" max="7" width="9.28515625" customWidth="1"/>
    <col min="8" max="8" width="5.7109375" customWidth="1"/>
    <col min="9" max="13" width="9.28515625" customWidth="1"/>
    <col min="14" max="14" width="5.7109375" customWidth="1"/>
    <col min="15" max="19" width="9.28515625" customWidth="1"/>
    <col min="20" max="16384" width="9.140625" hidden="1"/>
  </cols>
  <sheetData>
    <row r="1" spans="1:19" ht="5.25" hidden="1" customHeight="1" thickBot="1" x14ac:dyDescent="0.3"/>
    <row r="2" spans="1:19" s="176" customFormat="1" ht="12" customHeight="1" thickTop="1" x14ac:dyDescent="0.25">
      <c r="A2"/>
      <c r="B2"/>
      <c r="C2" s="175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264" t="s">
        <v>0</v>
      </c>
      <c r="Q2" s="264"/>
      <c r="R2" s="264"/>
      <c r="S2" s="264"/>
    </row>
    <row r="3" spans="1:19" ht="12" customHeight="1" x14ac:dyDescent="0.25">
      <c r="C3" s="177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265"/>
      <c r="Q3" s="265"/>
      <c r="R3" s="265"/>
      <c r="S3" s="265"/>
    </row>
    <row r="4" spans="1:19" ht="5.0999999999999996" customHeight="1" x14ac:dyDescent="0.4">
      <c r="C4" s="178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5.0999999999999996" customHeight="1" x14ac:dyDescent="0.4">
      <c r="C5" s="178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ht="11.25" customHeight="1" x14ac:dyDescent="0.25">
      <c r="C6" s="273" t="s">
        <v>328</v>
      </c>
      <c r="D6" s="274"/>
      <c r="E6" s="274"/>
      <c r="F6" s="274"/>
      <c r="G6" s="274"/>
      <c r="H6" s="274"/>
      <c r="I6" s="274"/>
      <c r="J6" s="274"/>
      <c r="K6" s="274"/>
      <c r="L6" s="274"/>
      <c r="M6" s="274"/>
      <c r="N6" s="274"/>
      <c r="O6" s="274"/>
      <c r="P6" s="274"/>
      <c r="Q6" s="274"/>
      <c r="R6" s="274"/>
      <c r="S6" s="275"/>
    </row>
    <row r="7" spans="1:19" ht="10.5" customHeight="1" x14ac:dyDescent="0.25">
      <c r="C7" s="273"/>
      <c r="D7" s="274"/>
      <c r="E7" s="274"/>
      <c r="F7" s="274"/>
      <c r="G7" s="274"/>
      <c r="H7" s="274"/>
      <c r="I7" s="274"/>
      <c r="J7" s="274"/>
      <c r="K7" s="274"/>
      <c r="L7" s="274"/>
      <c r="M7" s="274"/>
      <c r="N7" s="274"/>
      <c r="O7" s="274"/>
      <c r="P7" s="274"/>
      <c r="Q7" s="274"/>
      <c r="R7" s="274"/>
      <c r="S7" s="275"/>
    </row>
    <row r="8" spans="1:19" x14ac:dyDescent="0.25">
      <c r="C8" s="167"/>
      <c r="S8" s="166"/>
    </row>
    <row r="9" spans="1:19" ht="15" customHeight="1" x14ac:dyDescent="0.25">
      <c r="C9" s="276" t="s">
        <v>329</v>
      </c>
      <c r="D9" s="267"/>
      <c r="E9" s="267"/>
      <c r="F9" s="267"/>
      <c r="G9" s="268"/>
      <c r="H9" s="168"/>
      <c r="I9" s="266" t="s">
        <v>327</v>
      </c>
      <c r="J9" s="267"/>
      <c r="K9" s="267"/>
      <c r="L9" s="267"/>
      <c r="M9" s="268"/>
      <c r="O9" s="272"/>
      <c r="P9" s="272"/>
      <c r="Q9" s="272"/>
      <c r="R9" s="272"/>
      <c r="S9" s="272"/>
    </row>
    <row r="10" spans="1:19" x14ac:dyDescent="0.25">
      <c r="C10" s="277"/>
      <c r="D10" s="270"/>
      <c r="E10" s="270"/>
      <c r="F10" s="270"/>
      <c r="G10" s="271"/>
      <c r="H10" s="168"/>
      <c r="I10" s="269"/>
      <c r="J10" s="270"/>
      <c r="K10" s="270"/>
      <c r="L10" s="270"/>
      <c r="M10" s="271"/>
      <c r="O10" s="272"/>
      <c r="P10" s="272"/>
      <c r="Q10" s="272"/>
      <c r="R10" s="272"/>
      <c r="S10" s="272"/>
    </row>
    <row r="11" spans="1:19" s="281" customFormat="1" ht="15.75" x14ac:dyDescent="0.25">
      <c r="A11"/>
      <c r="B11"/>
      <c r="C11" s="167"/>
      <c r="D11"/>
      <c r="E11"/>
      <c r="F11"/>
      <c r="G11" s="162"/>
      <c r="H11"/>
      <c r="I11" s="161"/>
      <c r="J11"/>
      <c r="K11"/>
      <c r="L11"/>
      <c r="M11" s="162"/>
      <c r="N11"/>
    </row>
    <row r="12" spans="1:19" x14ac:dyDescent="0.25">
      <c r="C12" s="167"/>
      <c r="G12" s="162"/>
      <c r="I12" s="161"/>
      <c r="M12" s="162"/>
      <c r="S12" s="166"/>
    </row>
    <row r="13" spans="1:19" x14ac:dyDescent="0.25">
      <c r="C13" s="167"/>
      <c r="G13" s="162"/>
      <c r="I13" s="161"/>
      <c r="M13" s="162"/>
    </row>
    <row r="14" spans="1:19" ht="15.75" customHeight="1" x14ac:dyDescent="0.25">
      <c r="C14" s="167"/>
      <c r="G14" s="162"/>
      <c r="I14" s="161"/>
      <c r="M14" s="162"/>
    </row>
    <row r="15" spans="1:19" ht="15" customHeight="1" x14ac:dyDescent="0.25">
      <c r="C15" s="167"/>
      <c r="G15" s="162"/>
      <c r="I15" s="161"/>
      <c r="M15" s="162"/>
    </row>
    <row r="16" spans="1:19" x14ac:dyDescent="0.25">
      <c r="C16" s="167"/>
      <c r="G16" s="162"/>
      <c r="I16" s="161"/>
      <c r="M16" s="162"/>
    </row>
    <row r="17" spans="3:19" x14ac:dyDescent="0.25">
      <c r="C17" s="167"/>
      <c r="G17" s="162"/>
      <c r="I17" s="161"/>
      <c r="M17" s="162"/>
      <c r="O17" s="282" t="s">
        <v>324</v>
      </c>
      <c r="P17" s="283"/>
      <c r="Q17" s="283"/>
      <c r="R17" s="283"/>
      <c r="S17" s="284"/>
    </row>
    <row r="18" spans="3:19" x14ac:dyDescent="0.25">
      <c r="C18" s="167"/>
      <c r="G18" s="162"/>
      <c r="I18" s="161"/>
      <c r="M18" s="162"/>
      <c r="O18" s="285"/>
      <c r="P18" s="286"/>
      <c r="Q18" s="286"/>
      <c r="R18" s="286"/>
      <c r="S18" s="287"/>
    </row>
    <row r="19" spans="3:19" x14ac:dyDescent="0.25">
      <c r="C19" s="169"/>
      <c r="D19" s="164"/>
      <c r="E19" s="164"/>
      <c r="F19" s="164"/>
      <c r="G19" s="165"/>
      <c r="I19" s="163"/>
      <c r="J19" s="164"/>
      <c r="K19" s="164"/>
      <c r="L19" s="164"/>
      <c r="M19" s="165"/>
      <c r="O19" s="288" t="s">
        <v>331</v>
      </c>
      <c r="P19" s="289"/>
      <c r="Q19" s="289"/>
      <c r="R19" s="181"/>
      <c r="S19" s="182"/>
    </row>
    <row r="20" spans="3:19" ht="7.5" customHeight="1" x14ac:dyDescent="0.25">
      <c r="C20" s="167"/>
      <c r="O20" s="290"/>
      <c r="P20" s="291"/>
      <c r="Q20" s="291"/>
      <c r="R20" s="7"/>
      <c r="S20" s="183"/>
    </row>
    <row r="21" spans="3:19" ht="15.75" x14ac:dyDescent="0.25">
      <c r="C21" s="278" t="s">
        <v>325</v>
      </c>
      <c r="D21" s="279"/>
      <c r="E21" s="279"/>
      <c r="F21" s="279"/>
      <c r="G21" s="280"/>
      <c r="I21" s="266" t="s">
        <v>330</v>
      </c>
      <c r="J21" s="267"/>
      <c r="K21" s="267"/>
      <c r="L21" s="267"/>
      <c r="M21" s="268"/>
      <c r="O21" s="290"/>
      <c r="P21" s="291"/>
      <c r="Q21" s="291"/>
      <c r="R21" s="7"/>
      <c r="S21" s="183"/>
    </row>
    <row r="22" spans="3:19" x14ac:dyDescent="0.25">
      <c r="C22" s="167"/>
      <c r="G22" s="162"/>
      <c r="I22" s="269"/>
      <c r="J22" s="270"/>
      <c r="K22" s="270"/>
      <c r="L22" s="270"/>
      <c r="M22" s="271"/>
      <c r="O22" s="290"/>
      <c r="P22" s="291"/>
      <c r="Q22" s="291"/>
      <c r="R22" s="7"/>
      <c r="S22" s="183"/>
    </row>
    <row r="23" spans="3:19" x14ac:dyDescent="0.25">
      <c r="C23" s="167"/>
      <c r="G23" s="162"/>
      <c r="I23" s="161"/>
      <c r="M23" s="162"/>
      <c r="O23" s="290"/>
      <c r="P23" s="291"/>
      <c r="Q23" s="291"/>
      <c r="R23" s="7"/>
      <c r="S23" s="183"/>
    </row>
    <row r="24" spans="3:19" x14ac:dyDescent="0.25">
      <c r="C24" s="167"/>
      <c r="G24" s="162"/>
      <c r="I24" s="161"/>
      <c r="M24" s="162"/>
      <c r="O24" s="290"/>
      <c r="P24" s="291"/>
      <c r="Q24" s="291"/>
      <c r="R24" s="7"/>
      <c r="S24" s="183"/>
    </row>
    <row r="25" spans="3:19" x14ac:dyDescent="0.25">
      <c r="C25" s="169"/>
      <c r="D25" s="164"/>
      <c r="E25" s="164"/>
      <c r="F25" s="164"/>
      <c r="G25" s="165"/>
      <c r="I25" s="161"/>
      <c r="M25" s="162"/>
      <c r="O25" s="290"/>
      <c r="P25" s="291"/>
      <c r="Q25" s="291"/>
      <c r="R25" s="7"/>
      <c r="S25" s="183"/>
    </row>
    <row r="26" spans="3:19" ht="8.25" customHeight="1" x14ac:dyDescent="0.25">
      <c r="C26" s="167"/>
      <c r="I26" s="161"/>
      <c r="M26" s="162"/>
      <c r="O26" s="292"/>
      <c r="P26" s="293"/>
      <c r="Q26" s="293"/>
      <c r="R26" s="179"/>
      <c r="S26" s="180"/>
    </row>
    <row r="27" spans="3:19" ht="15.75" x14ac:dyDescent="0.25">
      <c r="C27" s="278" t="s">
        <v>326</v>
      </c>
      <c r="D27" s="279"/>
      <c r="E27" s="279"/>
      <c r="F27" s="279"/>
      <c r="G27" s="280"/>
      <c r="I27" s="161"/>
      <c r="M27" s="162"/>
    </row>
    <row r="28" spans="3:19" x14ac:dyDescent="0.25">
      <c r="C28" s="167"/>
      <c r="G28" s="162"/>
      <c r="I28" s="161"/>
      <c r="M28" s="162"/>
    </row>
    <row r="29" spans="3:19" x14ac:dyDescent="0.25">
      <c r="C29" s="167"/>
      <c r="G29" s="162"/>
      <c r="I29" s="163"/>
      <c r="J29" s="164"/>
      <c r="K29" s="164"/>
      <c r="L29" s="164"/>
      <c r="M29" s="165"/>
    </row>
    <row r="30" spans="3:19" ht="9.75" customHeight="1" x14ac:dyDescent="0.25">
      <c r="C30" s="167"/>
      <c r="G30" s="162"/>
    </row>
    <row r="31" spans="3:19" x14ac:dyDescent="0.25">
      <c r="C31" s="167"/>
      <c r="G31" s="162"/>
      <c r="I31" s="266" t="s">
        <v>323</v>
      </c>
      <c r="J31" s="267"/>
      <c r="K31" s="267"/>
      <c r="L31" s="267"/>
      <c r="M31" s="268"/>
    </row>
    <row r="32" spans="3:19" x14ac:dyDescent="0.25">
      <c r="C32" s="167"/>
      <c r="G32" s="162"/>
      <c r="I32" s="269"/>
      <c r="J32" s="270"/>
      <c r="K32" s="270"/>
      <c r="L32" s="270"/>
      <c r="M32" s="271"/>
    </row>
    <row r="33" spans="1:13" x14ac:dyDescent="0.25">
      <c r="C33" s="167"/>
      <c r="G33" s="162"/>
      <c r="I33" s="161"/>
      <c r="M33" s="162"/>
    </row>
    <row r="34" spans="1:13" s="171" customFormat="1" ht="19.5" customHeight="1" thickBot="1" x14ac:dyDescent="0.3">
      <c r="A34"/>
      <c r="B34"/>
      <c r="C34" s="170"/>
      <c r="G34" s="172"/>
      <c r="I34" s="173"/>
      <c r="M34" s="172"/>
    </row>
    <row r="35" spans="1:13" ht="15.75" hidden="1" thickTop="1" x14ac:dyDescent="0.25"/>
    <row r="36" spans="1:13" ht="15.75" hidden="1" thickTop="1" x14ac:dyDescent="0.25"/>
    <row r="44" spans="1:13" hidden="1" x14ac:dyDescent="0.25">
      <c r="E44" s="160"/>
      <c r="F44" s="160"/>
      <c r="G44" s="160"/>
    </row>
    <row r="45" spans="1:13" hidden="1" x14ac:dyDescent="0.25">
      <c r="E45" s="160"/>
      <c r="F45" s="160"/>
      <c r="G45" s="160"/>
    </row>
    <row r="46" spans="1:13" hidden="1" x14ac:dyDescent="0.25">
      <c r="E46" s="160"/>
      <c r="F46" s="160"/>
      <c r="G46" s="160"/>
    </row>
    <row r="47" spans="1:13" hidden="1" x14ac:dyDescent="0.25">
      <c r="E47" s="160"/>
      <c r="F47" s="160"/>
      <c r="G47" s="160"/>
    </row>
    <row r="48" spans="1:13" hidden="1" x14ac:dyDescent="0.25">
      <c r="E48" s="160"/>
      <c r="F48" s="160"/>
      <c r="G48" s="160"/>
    </row>
    <row r="49" spans="5:7" hidden="1" x14ac:dyDescent="0.25">
      <c r="E49" s="160"/>
      <c r="F49" s="160"/>
      <c r="G49" s="160"/>
    </row>
  </sheetData>
  <mergeCells count="12">
    <mergeCell ref="P2:S3"/>
    <mergeCell ref="I9:M10"/>
    <mergeCell ref="I21:M22"/>
    <mergeCell ref="I31:M32"/>
    <mergeCell ref="O9:S10"/>
    <mergeCell ref="C6:S7"/>
    <mergeCell ref="C9:G10"/>
    <mergeCell ref="C21:G21"/>
    <mergeCell ref="C27:G27"/>
    <mergeCell ref="O11:XFD11"/>
    <mergeCell ref="O17:S18"/>
    <mergeCell ref="O19:Q26"/>
  </mergeCells>
  <pageMargins left="0.511811024" right="0.511811024" top="0.78740157499999996" bottom="0.78740157499999996" header="0.31496062000000002" footer="0.31496062000000002"/>
  <pageSetup paperSize="9" scale="61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MODELO</vt:lpstr>
      <vt:lpstr>BANCO DE DADOS</vt:lpstr>
      <vt:lpstr>FICHA TÉCNICA</vt:lpstr>
      <vt:lpstr>'FICHA TÉCNICA'!Area_de_impressao</vt:lpstr>
      <vt:lpstr>MODELO!Area_de_impressao</vt:lpstr>
      <vt:lpstr>IDIOMA</vt:lpstr>
      <vt:lpstr>MATERIAL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Vagner Aparecido Godini</dc:creator>
  <cp:lastModifiedBy>Rodrigo Gomes Bertini</cp:lastModifiedBy>
  <cp:lastPrinted>2024-08-04T17:19:49Z</cp:lastPrinted>
  <dcterms:created xsi:type="dcterms:W3CDTF">2019-08-16T17:23:22Z</dcterms:created>
  <dcterms:modified xsi:type="dcterms:W3CDTF">2024-08-04T17:20:00Z</dcterms:modified>
</cp:coreProperties>
</file>